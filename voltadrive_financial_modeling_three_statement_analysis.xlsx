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Analysis" sheetId="1" r:id="rId5"/>
    <sheet state="visible" name="Key Assumptions" sheetId="2" r:id="rId6"/>
    <sheet state="visible" name="Schedule of Goods Manufactured" sheetId="3" r:id="rId7"/>
    <sheet state="visible" name="Income Statement" sheetId="4" r:id="rId8"/>
    <sheet state="visible" name="Retained Earnings" sheetId="5" r:id="rId9"/>
    <sheet state="visible" name="Balance Sheet" sheetId="6" r:id="rId10"/>
    <sheet state="visible" name="Statement of Cash Flows" sheetId="7" r:id="rId11"/>
  </sheets>
  <definedNames/>
  <calcPr/>
</workbook>
</file>

<file path=xl/sharedStrings.xml><?xml version="1.0" encoding="utf-8"?>
<sst xmlns="http://schemas.openxmlformats.org/spreadsheetml/2006/main" count="225" uniqueCount="196">
  <si>
    <t>Voltadrive</t>
  </si>
  <si>
    <t xml:space="preserve"> - Started at the beginning of the year as a new company with $0</t>
  </si>
  <si>
    <t>Income Statement</t>
  </si>
  <si>
    <t>For The Year Ended December 31, 2025</t>
  </si>
  <si>
    <t>- Purchased just enough materials to produce 300 trucks</t>
  </si>
  <si>
    <t>Sales</t>
  </si>
  <si>
    <t>- Sold all 300 trucks</t>
  </si>
  <si>
    <t>Schedule of Goods Manufactured</t>
  </si>
  <si>
    <t>per truck</t>
  </si>
  <si>
    <t>Cost of Goods Sold</t>
  </si>
  <si>
    <t>total (300 trucks)</t>
  </si>
  <si>
    <t>Work in Process Inventory, Jan. 1, 2025</t>
  </si>
  <si>
    <t>Finished Goods, Jan. 1, 2025</t>
  </si>
  <si>
    <t>Selling price</t>
  </si>
  <si>
    <t>Cost of Goods Manufactured</t>
  </si>
  <si>
    <t>Cost of Goods Avaliable</t>
  </si>
  <si>
    <t>Direct Materials, Jan. 1, 2025</t>
  </si>
  <si>
    <t>Ending Finished Goods</t>
  </si>
  <si>
    <t>Purchases of Direct Materials</t>
  </si>
  <si>
    <t>Gross Profit</t>
  </si>
  <si>
    <t>Operating Expenses</t>
  </si>
  <si>
    <t>Administrative Salaries</t>
  </si>
  <si>
    <t>Cost of Materials Avaliable</t>
  </si>
  <si>
    <t>Headquarters Utilites and Rent</t>
  </si>
  <si>
    <t>Sales Commission</t>
  </si>
  <si>
    <t>Marketing Expenses</t>
  </si>
  <si>
    <t>Direct Costs</t>
  </si>
  <si>
    <t>Total Operating Expenses</t>
  </si>
  <si>
    <t>direct materials</t>
  </si>
  <si>
    <t>Operating Income</t>
  </si>
  <si>
    <t>Direct Materials, Dec. 31, 2025</t>
  </si>
  <si>
    <t>Cost of Materials Used</t>
  </si>
  <si>
    <t>direct labor</t>
  </si>
  <si>
    <t>Other Revenue and Expenses</t>
  </si>
  <si>
    <t>Direct Labor</t>
  </si>
  <si>
    <t>Total Direct Cost</t>
  </si>
  <si>
    <t xml:space="preserve">Loss on Sale of Equipment </t>
  </si>
  <si>
    <t>Factory Overhead</t>
  </si>
  <si>
    <t>Interest Expense</t>
  </si>
  <si>
    <t xml:space="preserve">Depreciation on Factory Equipment </t>
  </si>
  <si>
    <t>Total Other Expenses</t>
  </si>
  <si>
    <t>Electricty on Factory</t>
  </si>
  <si>
    <t>Supplies</t>
  </si>
  <si>
    <t>Net Income</t>
  </si>
  <si>
    <t>Indirect Labor</t>
  </si>
  <si>
    <t>Overhead Costs</t>
  </si>
  <si>
    <t>Total Factory Overhead</t>
  </si>
  <si>
    <t>Manufacturing Overhead</t>
  </si>
  <si>
    <t>Variable</t>
  </si>
  <si>
    <t>Total Manufacturing Costs Incurred</t>
  </si>
  <si>
    <t>Total Manufacturing Costs</t>
  </si>
  <si>
    <t>Depreciation</t>
  </si>
  <si>
    <t>Work in Process Inventory, Dec. 31, 2025</t>
  </si>
  <si>
    <t>Electricity</t>
  </si>
  <si>
    <t>Fixed</t>
  </si>
  <si>
    <t>Total Manufacturing Overhead Cost</t>
  </si>
  <si>
    <t>Selling, General, and Administrative Overhead</t>
  </si>
  <si>
    <t>Marketing Expense</t>
  </si>
  <si>
    <t>Headquarters</t>
  </si>
  <si>
    <t>Total SGA Overhead Cost</t>
  </si>
  <si>
    <t>Total Overhead Cost</t>
  </si>
  <si>
    <t>Total Cost</t>
  </si>
  <si>
    <t>- Declared and paid a dividend of 2% on $100,000 worth of common stock ($20,000)</t>
  </si>
  <si>
    <t>- Purchased $20,500,000 worth of equipment during the year</t>
  </si>
  <si>
    <t>- Sold equipment for $350,000 that was bought earlier in the year for $500,000 (and had accumulated $100,000 worth of depreciation)</t>
  </si>
  <si>
    <t>- Accumulated $1,000,000 worth of interest on $20,500,000 worth of bonds (that was not paid during the year)</t>
  </si>
  <si>
    <t>Cash</t>
  </si>
  <si>
    <t>Accounts Recievable</t>
  </si>
  <si>
    <t>Inventories</t>
  </si>
  <si>
    <t>becuase we produced and sold all of our trucks</t>
  </si>
  <si>
    <t>Prepaid Expenses</t>
  </si>
  <si>
    <t>Equipment</t>
  </si>
  <si>
    <t>Buildings</t>
  </si>
  <si>
    <t>Land</t>
  </si>
  <si>
    <t>Accounts Payable</t>
  </si>
  <si>
    <t>Accrued Interest Payable</t>
  </si>
  <si>
    <t>Dividends Payable</t>
  </si>
  <si>
    <t>Declaring and Paying a 2% Dividend ($20,000)</t>
  </si>
  <si>
    <t>Bonds Payable</t>
  </si>
  <si>
    <t>Common Stock</t>
  </si>
  <si>
    <t>Paid in Cap in Excess of Par</t>
  </si>
  <si>
    <t>Statement of Retained Earnings</t>
  </si>
  <si>
    <t>Retained Earnings, Jan. 1, 2025</t>
  </si>
  <si>
    <t>Dividends Declared</t>
  </si>
  <si>
    <t>Retained Earnings, Dec. 31, 2025</t>
  </si>
  <si>
    <t>Balance Sheet</t>
  </si>
  <si>
    <t>Assets</t>
  </si>
  <si>
    <t>Current Assets</t>
  </si>
  <si>
    <t>Accounts Receivable</t>
  </si>
  <si>
    <t>Total Current Assets</t>
  </si>
  <si>
    <t>Fixed Assets</t>
  </si>
  <si>
    <t xml:space="preserve">Equipment </t>
  </si>
  <si>
    <t>Accumulated Depreciation</t>
  </si>
  <si>
    <t>Total Fixed Assets</t>
  </si>
  <si>
    <t>Total Assets</t>
  </si>
  <si>
    <t>Liabilities</t>
  </si>
  <si>
    <t>Current Liabilities</t>
  </si>
  <si>
    <t>Total Current Liabilities</t>
  </si>
  <si>
    <t>Long-Term Liabilities</t>
  </si>
  <si>
    <t>Total Long-Term Liabilities</t>
  </si>
  <si>
    <t>Total Liabilities</t>
  </si>
  <si>
    <t>Stockholders Equity</t>
  </si>
  <si>
    <t>Paid in Capital in Excess of Par</t>
  </si>
  <si>
    <t>Retained Earnings</t>
  </si>
  <si>
    <t>Total Stockholder Equity</t>
  </si>
  <si>
    <t>Total Liabilities + Total Stockholder Equity</t>
  </si>
  <si>
    <t>Statement of Cash Flows</t>
  </si>
  <si>
    <t>Cash Flows from Operating Activities</t>
  </si>
  <si>
    <t>Adjustments to reconcile</t>
  </si>
  <si>
    <t>Depreciation Expense</t>
  </si>
  <si>
    <t>Loss on Sale of Equipment</t>
  </si>
  <si>
    <t>Increase in Accounts Recievable</t>
  </si>
  <si>
    <t>Increase in Supplies</t>
  </si>
  <si>
    <t>Increase in Prepaid Expense</t>
  </si>
  <si>
    <t>Increase in Account Payable</t>
  </si>
  <si>
    <t>Increase in Accrued Interest Payable</t>
  </si>
  <si>
    <t>Net Cash from Operating Activities</t>
  </si>
  <si>
    <t>Cash Flows from Investing Activities</t>
  </si>
  <si>
    <t xml:space="preserve">Cash from sale of Equipment </t>
  </si>
  <si>
    <t>Cash Used for Purchase of Equipment</t>
  </si>
  <si>
    <t>Cash Used for Purchase of Buildings</t>
  </si>
  <si>
    <t>Cash Used for Purchase of Land</t>
  </si>
  <si>
    <t>Cash Used for Investing Activities</t>
  </si>
  <si>
    <t>Cash Flows from Financing Activities</t>
  </si>
  <si>
    <t>Cash from Sale of Common Stock</t>
  </si>
  <si>
    <t>Cash from Issuance of Bonds</t>
  </si>
  <si>
    <t>Cash Used for Payment of Dividends</t>
  </si>
  <si>
    <t>Cash from Financing Activities</t>
  </si>
  <si>
    <t>Net Increase in Cash</t>
  </si>
  <si>
    <t>Cash, Jan. 1, 2025</t>
  </si>
  <si>
    <t>Cash, Dec. 31, 2025</t>
  </si>
  <si>
    <t>OVERALL FINANCIAL ASSESMENT</t>
  </si>
  <si>
    <t>- Extremely high leverage, which amplifies ROE. However, the company has a reasonable cushion for covering interest expense.</t>
  </si>
  <si>
    <t>- Current assets are insufficient to cover current liabilities, indicating short-term liquidity risk.</t>
  </si>
  <si>
    <t>- Positive overall cash flow, but substantial startup investment resulted in negative free cash flow, which is reasonable for a first year company</t>
  </si>
  <si>
    <t>Measure</t>
  </si>
  <si>
    <t>Ratio</t>
  </si>
  <si>
    <t>Value</t>
  </si>
  <si>
    <t>Reference</t>
  </si>
  <si>
    <t>Interpretation</t>
  </si>
  <si>
    <t>PROFITABILITY</t>
  </si>
  <si>
    <t>Gross Margin</t>
  </si>
  <si>
    <t>Retained $0.13 per dollar of sales after manufacturing costs</t>
  </si>
  <si>
    <t>Operating Margin</t>
  </si>
  <si>
    <t>Retained $0.068 per dollar of sales from operations after SG&amp;A costs</t>
  </si>
  <si>
    <t>Profit Margin</t>
  </si>
  <si>
    <t>Retained $0.054 per dollar of sales as profit</t>
  </si>
  <si>
    <t>*ROA/ROE use ending balances (First-year company starting from 0)</t>
  </si>
  <si>
    <t>ROA</t>
  </si>
  <si>
    <t>Generated a 11.34% return on Assets</t>
  </si>
  <si>
    <t>ROE</t>
  </si>
  <si>
    <t>Generated a 77.44% return on common stockholder's equity</t>
  </si>
  <si>
    <t>Basic Earning Power (BEP)</t>
  </si>
  <si>
    <t>Generated a 14.27% operating return on total assets before interest and taxes</t>
  </si>
  <si>
    <t>High ROE significantly amplified by extremely high leverage</t>
  </si>
  <si>
    <t>LIQUIDITY</t>
  </si>
  <si>
    <t>Current Ratio</t>
  </si>
  <si>
    <t>$0.99 of current assets for every $1.00 of current liabilities</t>
  </si>
  <si>
    <t>Quick Ratio</t>
  </si>
  <si>
    <t>$0.868 of highly liquid current assets for every $1.00 of current liabilities</t>
  </si>
  <si>
    <t>Working Capital</t>
  </si>
  <si>
    <t>Negative short-term liquidity balance</t>
  </si>
  <si>
    <t>DEBT MANAGEMENT</t>
  </si>
  <si>
    <t>Debt-to-Equity</t>
  </si>
  <si>
    <t>Using $3.92 of debt for every $1 of equity</t>
  </si>
  <si>
    <t>Debt Ratio</t>
  </si>
  <si>
    <t>85.36% of assets financed by liabilities</t>
  </si>
  <si>
    <t>Equity Ratio</t>
  </si>
  <si>
    <t>14.64% of assets financed by equity</t>
  </si>
  <si>
    <t>Equity Multiplier</t>
  </si>
  <si>
    <t>Asset value is 6.83x that of equity</t>
  </si>
  <si>
    <t>Times Interest Earned (TIE)</t>
  </si>
  <si>
    <t>Generated $5.10 of operating earnings for every $1 of interest expense</t>
  </si>
  <si>
    <t>Extremely high leverage but with a reasonable cushion for interest expense</t>
  </si>
  <si>
    <t>ASSET MANAGEMENT</t>
  </si>
  <si>
    <t>Total Asset Turnover</t>
  </si>
  <si>
    <t>Generated $2.10 in sales for every $1.00 invested in total assets</t>
  </si>
  <si>
    <t>Fixed Asset Turnover</t>
  </si>
  <si>
    <t>Generated $2.91 in sales for every $1.00 invested in fixed assets</t>
  </si>
  <si>
    <t>Days Sales Outstanding (DSO)</t>
  </si>
  <si>
    <t>Customers take approximately 24.3 days, on average, to pay</t>
  </si>
  <si>
    <t>Investments in assets generate more than double their value in sales</t>
  </si>
  <si>
    <t>CASH FLOW</t>
  </si>
  <si>
    <t>Operating Cash Flow</t>
  </si>
  <si>
    <t>Operations generated positive cash despite significant startup investment</t>
  </si>
  <si>
    <t>Investing Cash Flow</t>
  </si>
  <si>
    <t>Heavy Investment into long term assets</t>
  </si>
  <si>
    <t>Financing Cash Flow</t>
  </si>
  <si>
    <t>Generated substantial cash flow from financing</t>
  </si>
  <si>
    <t>Net Change in Cash</t>
  </si>
  <si>
    <t>Positive cash flow overall</t>
  </si>
  <si>
    <t>OCF Margin</t>
  </si>
  <si>
    <t>Generated $0.135 of operating cash for every $1.00 in sales</t>
  </si>
  <si>
    <t>Free Cash Flow</t>
  </si>
  <si>
    <t>Heavy capital investment exceeded operating cash generation</t>
  </si>
  <si>
    <t>Generated postive operating cash flow but heavy startup capital expenditures resulted in negative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</si>
</sst>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_);_(&quot;$&quot;* \(#,##0\);_(&quot;$&quot;* &quot;-&quot;??_);_(@_)"/>
    <numFmt numFmtId="165" formatCode="M/d/yyyy"/>
    <numFmt numFmtId="166" formatCode="_(&quot;$&quot;* #,##0.00_);_(&quot;$&quot;* \(#,##0.00\);_(&quot;$&quot;* &quot;-&quot;??_);_(@_)"/>
  </numFmts>
  <fonts count="25">
    <font>
      <sz val="10.0"/>
      <color rgb="FF000000"/>
      <name val="Arial"/>
      <scheme val="minor"/>
    </font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b/>
      <sz val="10.0"/>
      <color rgb="FF000000"/>
      <name val="Calibri"/>
    </font>
    <font>
      <b/>
      <color theme="1"/>
      <name val="Calibri"/>
    </font>
    <font>
      <b/>
      <sz val="10.0"/>
      <color theme="1"/>
      <name val="Calibri"/>
    </font>
    <font>
      <sz val="10.0"/>
      <color rgb="FF274E13"/>
      <name val="Calibri"/>
    </font>
    <font>
      <color theme="1"/>
      <name val="Arial"/>
      <scheme val="minor"/>
    </font>
    <font>
      <u/>
      <color theme="1"/>
      <name val="Calibri"/>
    </font>
    <font>
      <i/>
      <color theme="1"/>
      <name val="Calibri"/>
    </font>
    <font>
      <color rgb="FF000000"/>
      <name val="Calibri"/>
    </font>
    <font>
      <i/>
      <sz val="8.0"/>
      <color theme="1"/>
      <name val="Cambria"/>
    </font>
    <font>
      <color theme="1"/>
      <name val="Cambria"/>
    </font>
    <font>
      <sz val="10.0"/>
      <color theme="1"/>
      <name val="Cambria"/>
    </font>
    <font>
      <color theme="1"/>
      <name val="Arial"/>
    </font>
    <font>
      <i/>
      <sz val="10.0"/>
      <color theme="1"/>
      <name val="Calibri"/>
    </font>
    <font>
      <u/>
      <sz val="10.0"/>
      <color theme="1"/>
      <name val="Calibri"/>
    </font>
    <font>
      <b/>
      <u/>
      <color theme="1"/>
      <name val="Calibri"/>
    </font>
    <font>
      <u/>
      <sz val="10.0"/>
      <color theme="1"/>
      <name val="Calibri"/>
    </font>
    <font>
      <i/>
      <u/>
      <sz val="10.0"/>
      <color theme="1"/>
      <name val="Calibri"/>
    </font>
    <font>
      <i/>
      <u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0" xfId="0" applyFont="1"/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horizontal="center" readingOrder="0"/>
    </xf>
    <xf borderId="1" fillId="0" fontId="2" numFmtId="164" xfId="0" applyAlignment="1" applyBorder="1" applyFont="1" applyNumberFormat="1">
      <alignment readingOrder="0"/>
    </xf>
    <xf borderId="2" fillId="0" fontId="2" numFmtId="164" xfId="0" applyBorder="1" applyFont="1" applyNumberFormat="1"/>
    <xf borderId="0" fillId="0" fontId="1" numFmtId="0" xfId="0" applyAlignment="1" applyFont="1">
      <alignment readingOrder="0"/>
    </xf>
    <xf borderId="3" fillId="0" fontId="2" numFmtId="164" xfId="0" applyAlignment="1" applyBorder="1" applyFont="1" applyNumberFormat="1">
      <alignment readingOrder="0"/>
    </xf>
    <xf borderId="4" fillId="0" fontId="1" numFmtId="0" xfId="0" applyAlignment="1" applyBorder="1" applyFont="1">
      <alignment horizontal="center" readingOrder="0"/>
    </xf>
    <xf borderId="5" fillId="0" fontId="2" numFmtId="164" xfId="0" applyAlignment="1" applyBorder="1" applyFont="1" applyNumberFormat="1">
      <alignment readingOrder="0"/>
    </xf>
    <xf borderId="0" fillId="0" fontId="2" numFmtId="164" xfId="0" applyFont="1" applyNumberFormat="1"/>
    <xf borderId="6" fillId="0" fontId="1" numFmtId="0" xfId="0" applyAlignment="1" applyBorder="1" applyFont="1">
      <alignment horizontal="center" readingOrder="0"/>
    </xf>
    <xf borderId="7" fillId="0" fontId="2" numFmtId="164" xfId="0" applyBorder="1" applyFont="1" applyNumberFormat="1"/>
    <xf borderId="0" fillId="0" fontId="1" numFmtId="0" xfId="0" applyAlignment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2" fillId="0" fontId="3" numFmtId="164" xfId="0" applyBorder="1" applyFont="1" applyNumberFormat="1"/>
    <xf borderId="5" fillId="0" fontId="2" numFmtId="164" xfId="0" applyBorder="1" applyFont="1" applyNumberFormat="1"/>
    <xf borderId="0" fillId="0" fontId="2" numFmtId="164" xfId="0" applyAlignment="1" applyFont="1" applyNumberFormat="1">
      <alignment readingOrder="0"/>
    </xf>
    <xf borderId="3" fillId="0" fontId="7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5" fillId="0" fontId="3" numFmtId="164" xfId="0" applyAlignment="1" applyBorder="1" applyFont="1" applyNumberFormat="1">
      <alignment readingOrder="0"/>
    </xf>
    <xf borderId="4" fillId="0" fontId="2" numFmtId="164" xfId="0" applyAlignment="1" applyBorder="1" applyFont="1" applyNumberFormat="1">
      <alignment readingOrder="0"/>
    </xf>
    <xf borderId="0" fillId="0" fontId="7" numFmtId="164" xfId="0" applyAlignment="1" applyFont="1" applyNumberFormat="1">
      <alignment readingOrder="0"/>
    </xf>
    <xf borderId="7" fillId="0" fontId="3" numFmtId="164" xfId="0" applyBorder="1" applyFont="1" applyNumberFormat="1"/>
    <xf borderId="8" fillId="0" fontId="2" numFmtId="164" xfId="0" applyBorder="1" applyFont="1" applyNumberFormat="1"/>
    <xf borderId="4" fillId="0" fontId="7" numFmtId="164" xfId="0" applyAlignment="1" applyBorder="1" applyFont="1" applyNumberFormat="1">
      <alignment readingOrder="0"/>
    </xf>
    <xf borderId="5" fillId="0" fontId="1" numFmtId="164" xfId="0" applyBorder="1" applyFont="1" applyNumberFormat="1"/>
    <xf borderId="5" fillId="0" fontId="8" numFmtId="0" xfId="0" applyBorder="1" applyFont="1"/>
    <xf borderId="0" fillId="0" fontId="9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6" fillId="0" fontId="1" numFmtId="164" xfId="0" applyBorder="1" applyFont="1" applyNumberFormat="1"/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5" fillId="0" fontId="2" numFmtId="0" xfId="0" applyBorder="1" applyFont="1"/>
    <xf borderId="7" fillId="0" fontId="2" numFmtId="0" xfId="0" applyBorder="1" applyFont="1"/>
    <xf borderId="0" fillId="0" fontId="1" numFmtId="164" xfId="0" applyFont="1" applyNumberFormat="1"/>
    <xf borderId="5" fillId="0" fontId="1" numFmtId="164" xfId="0" applyAlignment="1" applyBorder="1" applyFont="1" applyNumberFormat="1">
      <alignment readingOrder="0"/>
    </xf>
    <xf borderId="0" fillId="0" fontId="11" numFmtId="164" xfId="0" applyAlignment="1" applyFont="1" applyNumberFormat="1">
      <alignment horizontal="center" readingOrder="0"/>
    </xf>
    <xf borderId="9" fillId="0" fontId="2" numFmtId="164" xfId="0" applyAlignment="1" applyBorder="1" applyFont="1" applyNumberFormat="1">
      <alignment readingOrder="0"/>
    </xf>
    <xf borderId="10" fillId="0" fontId="2" numFmtId="0" xfId="0" applyBorder="1" applyFont="1"/>
    <xf borderId="11" fillId="0" fontId="2" numFmtId="164" xfId="0" applyBorder="1" applyFont="1" applyNumberFormat="1"/>
    <xf borderId="0" fillId="0" fontId="10" numFmtId="0" xfId="0" applyAlignment="1" applyFont="1">
      <alignment horizontal="right" readingOrder="0"/>
    </xf>
    <xf borderId="0" fillId="0" fontId="2" numFmtId="3" xfId="0" applyAlignment="1" applyFont="1" applyNumberFormat="1">
      <alignment readingOrder="0"/>
    </xf>
    <xf borderId="8" fillId="0" fontId="3" numFmtId="164" xfId="0" applyBorder="1" applyFont="1" applyNumberFormat="1"/>
    <xf borderId="8" fillId="0" fontId="7" numFmtId="164" xfId="0" applyAlignment="1" applyBorder="1" applyFont="1" applyNumberFormat="1">
      <alignment readingOrder="0"/>
    </xf>
    <xf borderId="6" fillId="0" fontId="3" numFmtId="164" xfId="0" applyAlignment="1" applyBorder="1" applyFont="1" applyNumberFormat="1">
      <alignment readingOrder="0"/>
    </xf>
    <xf borderId="4" fillId="0" fontId="3" numFmtId="164" xfId="0" applyBorder="1" applyFont="1" applyNumberFormat="1"/>
    <xf borderId="6" fillId="0" fontId="1" numFmtId="164" xfId="0" applyAlignment="1" applyBorder="1" applyFont="1" applyNumberFormat="1">
      <alignment readingOrder="0"/>
    </xf>
    <xf borderId="0" fillId="0" fontId="11" numFmtId="164" xfId="0" applyAlignment="1" applyFont="1" applyNumberFormat="1">
      <alignment horizontal="center"/>
    </xf>
    <xf borderId="5" fillId="0" fontId="1" numFmtId="0" xfId="0" applyBorder="1" applyFont="1"/>
    <xf borderId="0" fillId="0" fontId="12" numFmtId="164" xfId="0" applyAlignment="1" applyFont="1" applyNumberFormat="1">
      <alignment readingOrder="0"/>
    </xf>
    <xf borderId="0" fillId="0" fontId="13" numFmtId="164" xfId="0" applyFont="1" applyNumberFormat="1"/>
    <xf borderId="0" fillId="0" fontId="13" numFmtId="164" xfId="0" applyAlignment="1" applyFont="1" applyNumberFormat="1">
      <alignment readingOrder="0"/>
    </xf>
    <xf borderId="4" fillId="0" fontId="11" numFmtId="164" xfId="0" applyAlignment="1" applyBorder="1" applyFont="1" applyNumberFormat="1">
      <alignment horizontal="center"/>
    </xf>
    <xf borderId="0" fillId="0" fontId="14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1" fillId="0" fontId="13" numFmtId="164" xfId="0" applyAlignment="1" applyBorder="1" applyFont="1" applyNumberFormat="1">
      <alignment vertical="bottom"/>
    </xf>
    <xf borderId="2" fillId="0" fontId="13" numFmtId="164" xfId="0" applyAlignment="1" applyBorder="1" applyFont="1" applyNumberFormat="1">
      <alignment horizontal="right" vertical="bottom"/>
    </xf>
    <xf borderId="2" fillId="0" fontId="15" numFmtId="164" xfId="0" applyAlignment="1" applyBorder="1" applyFont="1" applyNumberFormat="1">
      <alignment vertical="bottom"/>
    </xf>
    <xf borderId="3" fillId="0" fontId="15" numFmtId="164" xfId="0" applyAlignment="1" applyBorder="1" applyFont="1" applyNumberFormat="1">
      <alignment vertical="bottom"/>
    </xf>
    <xf borderId="5" fillId="0" fontId="13" numFmtId="164" xfId="0" applyAlignment="1" applyBorder="1" applyFont="1" applyNumberForma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vertical="bottom"/>
    </xf>
    <xf borderId="7" fillId="0" fontId="15" numFmtId="164" xfId="0" applyAlignment="1" applyBorder="1" applyFont="1" applyNumberFormat="1">
      <alignment vertical="bottom"/>
    </xf>
    <xf borderId="11" fillId="0" fontId="12" numFmtId="164" xfId="0" applyAlignment="1" applyBorder="1" applyFont="1" applyNumberFormat="1">
      <alignment vertical="bottom"/>
    </xf>
    <xf borderId="11" fillId="0" fontId="15" numFmtId="164" xfId="0" applyAlignment="1" applyBorder="1" applyFont="1" applyNumberFormat="1">
      <alignment vertical="bottom"/>
    </xf>
    <xf borderId="5" fillId="0" fontId="15" numFmtId="164" xfId="0" applyAlignment="1" applyBorder="1" applyFont="1" applyNumberFormat="1">
      <alignment vertical="bottom"/>
    </xf>
    <xf borderId="6" fillId="0" fontId="15" numFmtId="164" xfId="0" applyAlignment="1" applyBorder="1" applyFont="1" applyNumberFormat="1">
      <alignment vertical="bottom"/>
    </xf>
    <xf borderId="4" fillId="0" fontId="15" numFmtId="164" xfId="0" applyAlignment="1" applyBorder="1" applyFont="1" applyNumberFormat="1">
      <alignment vertical="bottom"/>
    </xf>
    <xf borderId="4" fillId="0" fontId="13" numFmtId="164" xfId="0" applyAlignment="1" applyBorder="1" applyFont="1" applyNumberFormat="1">
      <alignment horizontal="right" vertical="bottom"/>
    </xf>
    <xf borderId="8" fillId="0" fontId="15" numFmtId="164" xfId="0" applyAlignment="1" applyBorder="1" applyFont="1" applyNumberFormat="1">
      <alignment vertical="bottom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3" fillId="0" fontId="3" numFmtId="164" xfId="0" applyAlignment="1" applyBorder="1" applyFont="1" applyNumberFormat="1">
      <alignment readingOrder="0"/>
    </xf>
    <xf borderId="5" fillId="0" fontId="3" numFmtId="0" xfId="0" applyAlignment="1" applyBorder="1" applyFont="1">
      <alignment readingOrder="0"/>
    </xf>
    <xf borderId="7" fillId="0" fontId="7" numFmtId="164" xfId="0" applyBorder="1" applyFont="1" applyNumberFormat="1"/>
    <xf borderId="9" fillId="0" fontId="3" numFmtId="0" xfId="0" applyAlignment="1" applyBorder="1" applyFont="1">
      <alignment readingOrder="0"/>
    </xf>
    <xf borderId="10" fillId="0" fontId="3" numFmtId="0" xfId="0" applyBorder="1" applyFont="1"/>
    <xf borderId="0" fillId="0" fontId="6" numFmtId="165" xfId="0" applyAlignment="1" applyFont="1" applyNumberFormat="1">
      <alignment horizontal="center" readingOrder="0"/>
    </xf>
    <xf borderId="3" fillId="0" fontId="3" numFmtId="0" xfId="0" applyBorder="1" applyFont="1"/>
    <xf borderId="11" fillId="0" fontId="3" numFmtId="164" xfId="0" applyBorder="1" applyFont="1" applyNumberFormat="1"/>
    <xf borderId="7" fillId="0" fontId="3" numFmtId="0" xfId="0" applyBorder="1" applyFont="1"/>
    <xf borderId="5" fillId="0" fontId="3" numFmtId="0" xfId="0" applyBorder="1" applyFont="1"/>
    <xf borderId="0" fillId="0" fontId="3" numFmtId="0" xfId="0" applyAlignment="1" applyFont="1">
      <alignment readingOrder="0"/>
    </xf>
    <xf borderId="4" fillId="0" fontId="3" numFmtId="164" xfId="0" applyAlignment="1" applyBorder="1" applyFont="1" applyNumberFormat="1">
      <alignment readingOrder="0"/>
    </xf>
    <xf borderId="7" fillId="0" fontId="6" numFmtId="0" xfId="0" applyAlignment="1" applyBorder="1" applyFont="1">
      <alignment readingOrder="0"/>
    </xf>
    <xf borderId="0" fillId="0" fontId="3" numFmtId="3" xfId="0" applyAlignment="1" applyFont="1" applyNumberFormat="1">
      <alignment readingOrder="0"/>
    </xf>
    <xf borderId="10" fillId="0" fontId="3" numFmtId="164" xfId="0" applyBorder="1" applyFont="1" applyNumberFormat="1"/>
    <xf borderId="0" fillId="0" fontId="3" numFmtId="166" xfId="0" applyFont="1" applyNumberFormat="1"/>
    <xf borderId="0" fillId="0" fontId="6" numFmtId="166" xfId="0" applyAlignment="1" applyFont="1" applyNumberFormat="1">
      <alignment horizontal="center" readingOrder="0"/>
    </xf>
    <xf borderId="2" fillId="0" fontId="3" numFmtId="166" xfId="0" applyBorder="1" applyFont="1" applyNumberFormat="1"/>
    <xf borderId="8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8" fillId="0" fontId="3" numFmtId="164" xfId="0" applyAlignment="1" applyBorder="1" applyFont="1" applyNumberFormat="1">
      <alignment readingOrder="0"/>
    </xf>
    <xf borderId="0" fillId="0" fontId="16" numFmtId="3" xfId="0" applyAlignment="1" applyFont="1" applyNumberFormat="1">
      <alignment readingOrder="0"/>
    </xf>
    <xf borderId="0" fillId="0" fontId="10" numFmtId="0" xfId="0" applyAlignment="1" applyFont="1">
      <alignment horizontal="center"/>
    </xf>
    <xf borderId="0" fillId="0" fontId="17" numFmtId="0" xfId="0" applyAlignment="1" applyFont="1">
      <alignment readingOrder="0" shrinkToFit="0" wrapText="1"/>
    </xf>
    <xf borderId="12" fillId="0" fontId="18" numFmtId="0" xfId="0" applyAlignment="1" applyBorder="1" applyFont="1">
      <alignment readingOrder="0"/>
    </xf>
    <xf borderId="13" fillId="0" fontId="1" numFmtId="0" xfId="0" applyBorder="1" applyFont="1"/>
    <xf borderId="13" fillId="0" fontId="10" numFmtId="0" xfId="0" applyAlignment="1" applyBorder="1" applyFont="1">
      <alignment horizontal="center"/>
    </xf>
    <xf borderId="14" fillId="0" fontId="1" numFmtId="0" xfId="0" applyBorder="1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15" fillId="0" fontId="5" numFmtId="0" xfId="0" applyAlignment="1" applyBorder="1" applyFont="1">
      <alignment readingOrder="0"/>
    </xf>
    <xf borderId="16" fillId="0" fontId="1" numFmtId="0" xfId="0" applyBorder="1" applyFont="1"/>
    <xf borderId="0" fillId="0" fontId="3" numFmtId="0" xfId="0" applyAlignment="1" applyFont="1">
      <alignment readingOrder="0" shrinkToFit="0" wrapText="1"/>
    </xf>
    <xf borderId="15" fillId="0" fontId="6" numFmtId="0" xfId="0" applyAlignment="1" applyBorder="1" applyFont="1">
      <alignment readingOrder="0"/>
    </xf>
    <xf borderId="0" fillId="0" fontId="16" numFmtId="0" xfId="0" applyAlignment="1" applyFont="1">
      <alignment horizontal="center"/>
    </xf>
    <xf borderId="16" fillId="0" fontId="3" numFmtId="0" xfId="0" applyBorder="1" applyFont="1"/>
    <xf borderId="17" fillId="0" fontId="6" numFmtId="0" xfId="0" applyAlignment="1" applyBorder="1" applyFont="1">
      <alignment readingOrder="0"/>
    </xf>
    <xf borderId="18" fillId="0" fontId="3" numFmtId="0" xfId="0" applyBorder="1" applyFont="1"/>
    <xf borderId="18" fillId="0" fontId="16" numFmtId="0" xfId="0" applyAlignment="1" applyBorder="1" applyFont="1">
      <alignment horizontal="center"/>
    </xf>
    <xf borderId="19" fillId="0" fontId="3" numFmtId="0" xfId="0" applyBorder="1" applyFont="1"/>
    <xf borderId="0" fillId="0" fontId="21" numFmtId="0" xfId="0" applyAlignment="1" applyFont="1">
      <alignment horizontal="center" readingOrder="0"/>
    </xf>
    <xf borderId="2" fillId="0" fontId="22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2" fillId="0" fontId="3" numFmtId="10" xfId="0" applyAlignment="1" applyBorder="1" applyFont="1" applyNumberFormat="1">
      <alignment horizontal="right" shrinkToFit="0" wrapText="1"/>
    </xf>
    <xf borderId="2" fillId="0" fontId="16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0" fillId="0" fontId="3" numFmtId="10" xfId="0" applyAlignment="1" applyFont="1" applyNumberFormat="1">
      <alignment horizontal="right" shrinkToFit="0" wrapText="1"/>
    </xf>
    <xf borderId="0" fillId="0" fontId="16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3" numFmtId="10" xfId="0" applyAlignment="1" applyFont="1" applyNumberFormat="1">
      <alignment horizontal="right"/>
    </xf>
    <xf borderId="0" fillId="0" fontId="6" numFmtId="0" xfId="0" applyAlignment="1" applyFont="1">
      <alignment readingOrder="0"/>
    </xf>
    <xf borderId="2" fillId="0" fontId="16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2" fillId="0" fontId="23" numFmtId="0" xfId="0" applyAlignment="1" applyBorder="1" applyFont="1">
      <alignment readingOrder="0"/>
    </xf>
    <xf borderId="2" fillId="0" fontId="3" numFmtId="0" xfId="0" applyAlignment="1" applyBorder="1" applyFont="1">
      <alignment horizontal="right" shrinkToFit="0" wrapText="1"/>
    </xf>
    <xf borderId="2" fillId="0" fontId="16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3" numFmtId="164" xfId="0" applyAlignment="1" applyFont="1" applyNumberFormat="1">
      <alignment horizontal="right" shrinkToFit="0" wrapText="1"/>
    </xf>
    <xf borderId="0" fillId="0" fontId="3" numFmtId="0" xfId="0" applyAlignment="1" applyFont="1">
      <alignment horizontal="right" shrinkToFit="0" wrapText="1"/>
    </xf>
    <xf borderId="2" fillId="0" fontId="3" numFmtId="2" xfId="0" applyAlignment="1" applyBorder="1" applyFont="1" applyNumberFormat="1">
      <alignment horizontal="right" shrinkToFit="0" wrapText="1"/>
    </xf>
    <xf borderId="0" fillId="0" fontId="3" numFmtId="2" xfId="0" applyAlignment="1" applyFont="1" applyNumberFormat="1">
      <alignment horizontal="right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24" numFmtId="0" xfId="0" applyAlignment="1" applyFont="1">
      <alignment horizontal="center"/>
    </xf>
    <xf borderId="0" fillId="0" fontId="1" numFmtId="2" xfId="0" applyAlignment="1" applyFont="1" applyNumberFormat="1">
      <alignment horizontal="right"/>
    </xf>
    <xf borderId="2" fillId="0" fontId="10" numFmtId="0" xfId="0" applyAlignment="1" applyBorder="1" applyFont="1">
      <alignment readingOrder="0"/>
    </xf>
    <xf borderId="2" fillId="0" fontId="3" numFmtId="164" xfId="0" applyAlignment="1" applyBorder="1" applyFont="1" applyNumberFormat="1">
      <alignment horizontal="right" readingOrder="0" shrinkToFit="0" wrapText="1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3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Calibri"/>
              </a:defRPr>
            </a:pPr>
            <a:r>
              <a:rPr b="1" sz="1800">
                <a:solidFill>
                  <a:srgbClr val="000000"/>
                </a:solidFill>
                <a:latin typeface="Calibri"/>
              </a:rPr>
              <a:t>Profitability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'Financial Analysis'!$M$7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0" sz="14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Analysis'!$L$8:$L$10</c:f>
            </c:strRef>
          </c:cat>
          <c:val>
            <c:numRef>
              <c:f>'Financial Analysis'!$M$8:$M$10</c:f>
              <c:numCache/>
            </c:numRef>
          </c:val>
        </c:ser>
        <c:axId val="2092396967"/>
        <c:axId val="2035883931"/>
      </c:barChart>
      <c:catAx>
        <c:axId val="20923969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alibri"/>
              </a:defRPr>
            </a:pPr>
          </a:p>
        </c:txPr>
        <c:crossAx val="2035883931"/>
      </c:catAx>
      <c:valAx>
        <c:axId val="20358839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3969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Calibri"/>
              </a:defRPr>
            </a:pPr>
            <a:r>
              <a:rPr b="1" sz="1800">
                <a:solidFill>
                  <a:srgbClr val="000000"/>
                </a:solidFill>
                <a:latin typeface="Calibri"/>
              </a:rPr>
              <a:t>Liquidity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0" sz="18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Analysis'!$L$16:$L$17</c:f>
            </c:strRef>
          </c:cat>
          <c:val>
            <c:numRef>
              <c:f>'Financial Analysis'!$M$16:$M$17</c:f>
              <c:numCache/>
            </c:numRef>
          </c:val>
        </c:ser>
        <c:axId val="412407308"/>
        <c:axId val="1583931835"/>
      </c:barChart>
      <c:lineChart>
        <c:varyColors val="0"/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'Financial Analysis'!$L$16:$L$17</c:f>
            </c:strRef>
          </c:cat>
          <c:val>
            <c:numRef>
              <c:f>'Financial Analysis'!$N$16:$N$17</c:f>
              <c:numCache/>
            </c:numRef>
          </c:val>
          <c:smooth val="0"/>
        </c:ser>
        <c:axId val="412407308"/>
        <c:axId val="1583931835"/>
      </c:lineChart>
      <c:catAx>
        <c:axId val="412407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alibri"/>
              </a:defRPr>
            </a:pPr>
          </a:p>
        </c:txPr>
        <c:crossAx val="1583931835"/>
      </c:catAx>
      <c:valAx>
        <c:axId val="1583931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40730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Calibri"/>
              </a:defRPr>
            </a:pPr>
            <a:r>
              <a:rPr b="1" sz="1800">
                <a:solidFill>
                  <a:srgbClr val="000000"/>
                </a:solidFill>
                <a:latin typeface="Calibri"/>
              </a:rPr>
              <a:t>Capital Structure</a:t>
            </a:r>
          </a:p>
        </c:rich>
      </c:tx>
      <c:overlay val="0"/>
    </c:title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sz="16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'Financial Analysis'!$L$22:$L$23</c:f>
            </c:strRef>
          </c:cat>
          <c:val>
            <c:numRef>
              <c:f>'Financial Analysis'!$M$22:$M$23</c:f>
              <c:numCache/>
            </c:numRef>
          </c:val>
        </c:ser>
        <c:overlap val="100"/>
        <c:axId val="854097687"/>
        <c:axId val="730139153"/>
      </c:barChart>
      <c:catAx>
        <c:axId val="8540976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alibri"/>
              </a:defRPr>
            </a:pPr>
          </a:p>
        </c:txPr>
        <c:crossAx val="730139153"/>
      </c:catAx>
      <c:valAx>
        <c:axId val="7301391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0976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266700</xdr:colOff>
      <xdr:row>1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600075</xdr:colOff>
      <xdr:row>18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266700</xdr:colOff>
      <xdr:row>18</xdr:row>
      <xdr:rowOff>66675</xdr:rowOff>
    </xdr:from>
    <xdr:ext cx="5715000" cy="3533775"/>
    <xdr:pic>
      <xdr:nvPicPr>
        <xdr:cNvPr id="208868313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9" width="8.13"/>
    <col customWidth="1" min="10" max="10" width="11.88"/>
    <col customWidth="1" min="11" max="11" width="19.0"/>
    <col customWidth="1" min="12" max="12" width="20.13"/>
    <col customWidth="1" min="13" max="13" width="11.0"/>
    <col customWidth="1" min="15" max="15" width="50.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102"/>
      <c r="O1" s="90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6"/>
      <c r="B2" s="6"/>
      <c r="C2" s="6"/>
      <c r="D2" s="6"/>
      <c r="E2" s="6"/>
      <c r="F2" s="6"/>
      <c r="G2" s="6"/>
      <c r="H2" s="6"/>
      <c r="I2" s="6"/>
      <c r="J2" s="103"/>
      <c r="K2" s="104" t="s">
        <v>131</v>
      </c>
      <c r="L2" s="105"/>
      <c r="M2" s="105"/>
      <c r="N2" s="106"/>
      <c r="O2" s="107"/>
      <c r="P2" s="108"/>
      <c r="Q2" s="109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6"/>
      <c r="B3" s="6"/>
      <c r="C3" s="6"/>
      <c r="D3" s="6"/>
      <c r="E3" s="6"/>
      <c r="F3" s="6"/>
      <c r="G3" s="6"/>
      <c r="H3" s="6"/>
      <c r="I3" s="6"/>
      <c r="J3" s="110"/>
      <c r="K3" s="111" t="s">
        <v>132</v>
      </c>
      <c r="L3" s="1"/>
      <c r="M3" s="1"/>
      <c r="N3" s="102"/>
      <c r="O3" s="112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>
      <c r="A4" s="6"/>
      <c r="B4" s="6"/>
      <c r="C4" s="6"/>
      <c r="D4" s="6"/>
      <c r="E4" s="6"/>
      <c r="F4" s="6"/>
      <c r="G4" s="6"/>
      <c r="H4" s="6"/>
      <c r="I4" s="6"/>
      <c r="J4" s="113"/>
      <c r="K4" s="114" t="s">
        <v>133</v>
      </c>
      <c r="L4" s="6"/>
      <c r="M4" s="6"/>
      <c r="N4" s="115"/>
      <c r="O4" s="116"/>
      <c r="P4" s="6"/>
      <c r="Q4" s="90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6"/>
      <c r="B5" s="6"/>
      <c r="C5" s="6"/>
      <c r="D5" s="6"/>
      <c r="E5" s="6"/>
      <c r="F5" s="6"/>
      <c r="G5" s="6"/>
      <c r="H5" s="6"/>
      <c r="I5" s="6"/>
      <c r="J5" s="113"/>
      <c r="K5" s="117" t="s">
        <v>134</v>
      </c>
      <c r="L5" s="118"/>
      <c r="M5" s="118"/>
      <c r="N5" s="119"/>
      <c r="O5" s="120"/>
      <c r="P5" s="6"/>
      <c r="Q5" s="90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6"/>
      <c r="B6" s="6"/>
      <c r="C6" s="6"/>
      <c r="D6" s="6"/>
      <c r="E6" s="6"/>
      <c r="F6" s="6"/>
      <c r="G6" s="6"/>
      <c r="H6" s="6"/>
      <c r="I6" s="6"/>
      <c r="J6" s="113"/>
      <c r="L6" s="6"/>
      <c r="M6" s="6"/>
      <c r="N6" s="115"/>
      <c r="O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>
      <c r="A7" s="6"/>
      <c r="B7" s="6"/>
      <c r="C7" s="6"/>
      <c r="D7" s="6"/>
      <c r="E7" s="6"/>
      <c r="F7" s="6"/>
      <c r="G7" s="6"/>
      <c r="H7" s="6"/>
      <c r="I7" s="6"/>
      <c r="J7" s="113"/>
      <c r="K7" s="103" t="s">
        <v>135</v>
      </c>
      <c r="L7" s="103" t="s">
        <v>136</v>
      </c>
      <c r="M7" s="103" t="s">
        <v>137</v>
      </c>
      <c r="N7" s="121" t="s">
        <v>138</v>
      </c>
      <c r="O7" s="108" t="s">
        <v>139</v>
      </c>
      <c r="Q7" s="90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122" t="s">
        <v>140</v>
      </c>
      <c r="L8" s="123" t="s">
        <v>141</v>
      </c>
      <c r="M8" s="124">
        <f>((75000000-65200000)/75000000)</f>
        <v>0.1306666667</v>
      </c>
      <c r="N8" s="125"/>
      <c r="O8" s="126" t="s">
        <v>142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>
      <c r="A9" s="6"/>
      <c r="B9" s="6"/>
      <c r="C9" s="6"/>
      <c r="D9" s="6"/>
      <c r="E9" s="6"/>
      <c r="F9" s="6"/>
      <c r="G9" s="6"/>
      <c r="H9" s="6"/>
      <c r="I9" s="6"/>
      <c r="J9" s="1"/>
      <c r="K9" s="113"/>
      <c r="L9" s="113" t="s">
        <v>143</v>
      </c>
      <c r="M9" s="127">
        <f>5100000/75000000</f>
        <v>0.068</v>
      </c>
      <c r="N9" s="115"/>
      <c r="O9" s="90" t="s">
        <v>144</v>
      </c>
      <c r="P9" s="6"/>
      <c r="Q9" s="108"/>
      <c r="R9" s="90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1"/>
      <c r="K10" s="113"/>
      <c r="L10" s="113" t="s">
        <v>145</v>
      </c>
      <c r="M10" s="127">
        <f>4050000/75000000</f>
        <v>0.054</v>
      </c>
      <c r="N10" s="115"/>
      <c r="O10" s="90" t="s">
        <v>146</v>
      </c>
      <c r="P10" s="6"/>
      <c r="Q10" s="108"/>
      <c r="R10" s="90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1"/>
      <c r="K11" s="128" t="s">
        <v>147</v>
      </c>
      <c r="L11" s="113" t="s">
        <v>148</v>
      </c>
      <c r="M11" s="127">
        <f>4050000/35730000</f>
        <v>0.1133501259</v>
      </c>
      <c r="N11" s="115"/>
      <c r="O11" s="90" t="s">
        <v>149</v>
      </c>
      <c r="P11" s="90"/>
      <c r="Q11" s="90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1"/>
      <c r="L12" s="113" t="s">
        <v>150</v>
      </c>
      <c r="M12" s="127">
        <f>4050000/5230000</f>
        <v>0.7743785851</v>
      </c>
      <c r="N12" s="115"/>
      <c r="O12" s="90" t="s">
        <v>151</v>
      </c>
      <c r="P12" s="90"/>
      <c r="Q12" s="90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1"/>
      <c r="K13" s="6"/>
      <c r="L13" s="129" t="s">
        <v>152</v>
      </c>
      <c r="M13" s="130">
        <f>5100000/35730000</f>
        <v>0.1427371956</v>
      </c>
      <c r="N13" s="115"/>
      <c r="O13" s="90" t="s">
        <v>153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131"/>
      <c r="K14" s="132" t="s">
        <v>154</v>
      </c>
      <c r="L14" s="1"/>
      <c r="M14" s="133"/>
      <c r="N14" s="115"/>
      <c r="O14" s="6"/>
      <c r="P14" s="90"/>
      <c r="Q14" s="90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131"/>
      <c r="K15" s="1"/>
      <c r="L15" s="1"/>
      <c r="M15" s="133"/>
      <c r="N15" s="115"/>
      <c r="O15" s="6"/>
      <c r="P15" s="90"/>
      <c r="Q15" s="90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131"/>
      <c r="K16" s="134" t="s">
        <v>155</v>
      </c>
      <c r="L16" s="123" t="s">
        <v>156</v>
      </c>
      <c r="M16" s="135">
        <f>9930000/10000000</f>
        <v>0.993</v>
      </c>
      <c r="N16" s="136">
        <v>1.0</v>
      </c>
      <c r="O16" s="126" t="s">
        <v>157</v>
      </c>
      <c r="P16" s="131"/>
      <c r="Q16" s="90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131"/>
      <c r="K17" s="6"/>
      <c r="L17" s="12" t="s">
        <v>158</v>
      </c>
      <c r="M17" s="133">
        <f>(3680000+5000000)/10000000</f>
        <v>0.868</v>
      </c>
      <c r="N17" s="137">
        <v>1.0</v>
      </c>
      <c r="O17" s="90" t="s">
        <v>159</v>
      </c>
      <c r="P17" s="90"/>
      <c r="Q17" s="90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131"/>
      <c r="K18" s="113"/>
      <c r="L18" s="90" t="s">
        <v>160</v>
      </c>
      <c r="M18" s="138">
        <f>9930000-10000000</f>
        <v>-70000</v>
      </c>
      <c r="N18" s="115"/>
      <c r="P18" s="90"/>
      <c r="Q18" s="90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131"/>
      <c r="K19" s="132" t="s">
        <v>161</v>
      </c>
      <c r="L19" s="113"/>
      <c r="M19" s="139"/>
      <c r="N19" s="137"/>
      <c r="O19" s="90"/>
      <c r="P19" s="90"/>
      <c r="Q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131"/>
      <c r="K20" s="131"/>
      <c r="L20" s="113"/>
      <c r="M20" s="139"/>
      <c r="N20" s="137"/>
      <c r="O20" s="90"/>
      <c r="Q20" s="108"/>
      <c r="R20" s="90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122" t="s">
        <v>162</v>
      </c>
      <c r="L21" s="123" t="s">
        <v>163</v>
      </c>
      <c r="M21" s="140">
        <f>20500000/5230000</f>
        <v>3.919694073</v>
      </c>
      <c r="N21" s="125"/>
      <c r="O21" s="126" t="s">
        <v>164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113"/>
      <c r="K22" s="113"/>
      <c r="L22" s="90" t="s">
        <v>165</v>
      </c>
      <c r="M22" s="130">
        <f>30500000/35730000</f>
        <v>0.8536244053</v>
      </c>
      <c r="N22" s="102"/>
      <c r="O22" s="90" t="s">
        <v>166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90"/>
      <c r="B23" s="90"/>
      <c r="C23" s="90"/>
      <c r="D23" s="90"/>
      <c r="E23" s="90"/>
      <c r="F23" s="90"/>
      <c r="G23" s="90"/>
      <c r="H23" s="90"/>
      <c r="I23" s="90"/>
      <c r="J23" s="1"/>
      <c r="K23" s="1"/>
      <c r="L23" s="12" t="s">
        <v>167</v>
      </c>
      <c r="M23" s="130">
        <f>1-M22</f>
        <v>0.1463755947</v>
      </c>
      <c r="N23" s="115"/>
      <c r="O23" s="90" t="s">
        <v>168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>
      <c r="A24" s="90"/>
      <c r="B24" s="90"/>
      <c r="C24" s="90"/>
      <c r="D24" s="90"/>
      <c r="E24" s="90"/>
      <c r="F24" s="90"/>
      <c r="G24" s="90"/>
      <c r="H24" s="90"/>
      <c r="I24" s="90"/>
      <c r="J24" s="110"/>
      <c r="K24" s="113"/>
      <c r="L24" s="90" t="s">
        <v>169</v>
      </c>
      <c r="M24" s="141">
        <f>35730000/5230000</f>
        <v>6.831739962</v>
      </c>
      <c r="N24" s="115"/>
      <c r="O24" s="90" t="s">
        <v>170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113"/>
      <c r="K25" s="6"/>
      <c r="L25" s="142" t="s">
        <v>171</v>
      </c>
      <c r="M25" s="143">
        <f>5100000/1000000</f>
        <v>5.1</v>
      </c>
      <c r="N25" s="115"/>
      <c r="O25" s="90" t="s">
        <v>172</v>
      </c>
      <c r="R25" s="90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1"/>
      <c r="K26" s="132" t="s">
        <v>173</v>
      </c>
      <c r="N26" s="144"/>
      <c r="P26" s="6"/>
      <c r="Q26" s="90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113"/>
      <c r="N27" s="144"/>
      <c r="P27" s="6"/>
      <c r="Q27" s="90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143"/>
      <c r="N28" s="115"/>
      <c r="O28" s="6"/>
      <c r="P28" s="6"/>
      <c r="Q28" s="90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134" t="s">
        <v>174</v>
      </c>
      <c r="L29" s="123" t="s">
        <v>175</v>
      </c>
      <c r="M29" s="140">
        <f>75000000/35730000</f>
        <v>2.099076406</v>
      </c>
      <c r="N29" s="125"/>
      <c r="O29" s="126" t="s">
        <v>176</v>
      </c>
      <c r="P29" s="6"/>
      <c r="Q29" s="108"/>
      <c r="R29" s="90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131"/>
      <c r="K30" s="90"/>
      <c r="L30" s="90" t="s">
        <v>177</v>
      </c>
      <c r="M30" s="141">
        <f>75000000/25800000</f>
        <v>2.906976744</v>
      </c>
      <c r="N30" s="115"/>
      <c r="O30" s="90" t="s">
        <v>178</v>
      </c>
      <c r="P30" s="6"/>
      <c r="Q30" s="90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90"/>
      <c r="K31" s="1"/>
      <c r="L31" s="129" t="s">
        <v>179</v>
      </c>
      <c r="M31" s="145">
        <f>5000000/(75000000/365)</f>
        <v>24.33333333</v>
      </c>
      <c r="N31" s="115"/>
      <c r="O31" s="90" t="s">
        <v>180</v>
      </c>
      <c r="P31" s="6"/>
      <c r="Q31" s="90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1"/>
      <c r="K32" s="146" t="s">
        <v>181</v>
      </c>
      <c r="N32" s="144"/>
      <c r="P32" s="6"/>
      <c r="Q32" s="90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1"/>
      <c r="N33" s="144"/>
      <c r="P33" s="6"/>
      <c r="Q33" s="90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131"/>
      <c r="K34" s="134" t="s">
        <v>182</v>
      </c>
      <c r="L34" s="123" t="s">
        <v>183</v>
      </c>
      <c r="M34" s="147">
        <v>1.01E7</v>
      </c>
      <c r="N34" s="125"/>
      <c r="O34" s="126" t="s">
        <v>184</v>
      </c>
      <c r="Q34" s="90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 t="s">
        <v>185</v>
      </c>
      <c r="M35" s="148">
        <v>-2.81E7</v>
      </c>
      <c r="N35" s="115"/>
      <c r="O35" s="90" t="s">
        <v>186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2" t="s">
        <v>187</v>
      </c>
      <c r="M36" s="148">
        <v>2.168E7</v>
      </c>
      <c r="N36" s="115"/>
      <c r="O36" s="90" t="s">
        <v>188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2" t="s">
        <v>189</v>
      </c>
      <c r="M37" s="149">
        <f>SUM(M34:M36)</f>
        <v>3680000</v>
      </c>
      <c r="N37" s="115"/>
      <c r="O37" s="90" t="s">
        <v>190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90" t="s">
        <v>191</v>
      </c>
      <c r="M38" s="130">
        <f>M34/75000000</f>
        <v>0.1346666667</v>
      </c>
      <c r="N38" s="115"/>
      <c r="O38" s="90" t="s">
        <v>192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90" t="s">
        <v>193</v>
      </c>
      <c r="M39" s="150">
        <f>M34-(20500000+6900000+1050000)</f>
        <v>-18350000</v>
      </c>
      <c r="N39" s="115"/>
      <c r="O39" s="90" t="s">
        <v>194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132" t="s">
        <v>195</v>
      </c>
      <c r="N40" s="144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P41" s="12"/>
      <c r="Q41" s="1"/>
      <c r="R41" s="1"/>
      <c r="S41" s="42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P42" s="113"/>
      <c r="Q42" s="113"/>
      <c r="R42" s="113"/>
      <c r="S42" s="151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P43" s="12"/>
      <c r="Q43" s="1"/>
      <c r="R43" s="1"/>
      <c r="S43" s="2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P44" s="12"/>
      <c r="Q44" s="1"/>
      <c r="R44" s="1"/>
      <c r="S44" s="25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P45" s="12"/>
      <c r="Q45" s="1"/>
      <c r="R45" s="1"/>
      <c r="S45" s="42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115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115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115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115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115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115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115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115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115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115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115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115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115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115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115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115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11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115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115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115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115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115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115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115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115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115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115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115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115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115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115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115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115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115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115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115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115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115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115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115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115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115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115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115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115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115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115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115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115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115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115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115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115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115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115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115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115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115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115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115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115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115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115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115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115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115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115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115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115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115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115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115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115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115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115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115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115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115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115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115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115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115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115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115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115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115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115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115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115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115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115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115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115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115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115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115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115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115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115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115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115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115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115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115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115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115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115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115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115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115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115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115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115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115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115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115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115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115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115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115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115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115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115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115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115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115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115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115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115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115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115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115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115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115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115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115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115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115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115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115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115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115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115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115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115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115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115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115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115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115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115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115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115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115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115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115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115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115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115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115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115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115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115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115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115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115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115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115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115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115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115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115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115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115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115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115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115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115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115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115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115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115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115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115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115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115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115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115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115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115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115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115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115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115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115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115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115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115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115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115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115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115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115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115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115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115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115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115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115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115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115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115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115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115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115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115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115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115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115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115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115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115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115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115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115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115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115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115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115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115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115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115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115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115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115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115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115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115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115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115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115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115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115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115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115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115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115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115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115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115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115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115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115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115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115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115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115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115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115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115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115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115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115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115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115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115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115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115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115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115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115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115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115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115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115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115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115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115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115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115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115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115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115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115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115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115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115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115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115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115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115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115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115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115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115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115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115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115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115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115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115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115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115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115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115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115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115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115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115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115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115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115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115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115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115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115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115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115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115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115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115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115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115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115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115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115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115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115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115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115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115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115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115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115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115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115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115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115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115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115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115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115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115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115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115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115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115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115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115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115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115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115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115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115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115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115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115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115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115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115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115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115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115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115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115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115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115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115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115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115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115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115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115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115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115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115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115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115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115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115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115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115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115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115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115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115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115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115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115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115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115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115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115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115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115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115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115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115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115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115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115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115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115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115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115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115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115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115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115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115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115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115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115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115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115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115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115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115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115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115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115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115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115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115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115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115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115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115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115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115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115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115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115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115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115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115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115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115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115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115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115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115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115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115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115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115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115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115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115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115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115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115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115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115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115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115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115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115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115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115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115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115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115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115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115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115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115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115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115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115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115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115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115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115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115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115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115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115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115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115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115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115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115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115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115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115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115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115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115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115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115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115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115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115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115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115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115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115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115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115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115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115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115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115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115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115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115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115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115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115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115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115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115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115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115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115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115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115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115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115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115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115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115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115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115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115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115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115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115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115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115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115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115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115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115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115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115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115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115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115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115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115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115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115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115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115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115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115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115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115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115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115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115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115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115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115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115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115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115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115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115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115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115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115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115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115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115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115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115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115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115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115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115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115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115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115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115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115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115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115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115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115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115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115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115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115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115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115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115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115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115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115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115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115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115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115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115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115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115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115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115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115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115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115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115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115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115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115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115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115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115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115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115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115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115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115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115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115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115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115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115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115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115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115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115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115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115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115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115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115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115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115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115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115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115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115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115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115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115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115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115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115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115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115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115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115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115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115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115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115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115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115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115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115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115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115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115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115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115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115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115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115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115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115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115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115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115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115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115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115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115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115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115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115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115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115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115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115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115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115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115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115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115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115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115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115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115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115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115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115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115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115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115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115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115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115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115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115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115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115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115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115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115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115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115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115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115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115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115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115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115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115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115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115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115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115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115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115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115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115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115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115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115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115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115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115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115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115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115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115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115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115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115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115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115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115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115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115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115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115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115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115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115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115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115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115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115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115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115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115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115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115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115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115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115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115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115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115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115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115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115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115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115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115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115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115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115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115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115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115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115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115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115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115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115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115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115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115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115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115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115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115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115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115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115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115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115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115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115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115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115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115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115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115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115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115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115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115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115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115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115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115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115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115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115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115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115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115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115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115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115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115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115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115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115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115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115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115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115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115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115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115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115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115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115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115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115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115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115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115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115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115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115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115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115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115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115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115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115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115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115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115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115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115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115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115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115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115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115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115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115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115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115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115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115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115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115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115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115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115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115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115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115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115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115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115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115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115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115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115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115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115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115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115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115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115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115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115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115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115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115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115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115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115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115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115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115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115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115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115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115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115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115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115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115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115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115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115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115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115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115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115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115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115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115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115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115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115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115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115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115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115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115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115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115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115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115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115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115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115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115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115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115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115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115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115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115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115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115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115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115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115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115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115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115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7.25"/>
    <col customWidth="1" min="6" max="6" width="25.0"/>
    <col customWidth="1" min="7" max="7" width="14.5"/>
    <col customWidth="1" min="8" max="8" width="10.5"/>
  </cols>
  <sheetData>
    <row r="1">
      <c r="A1" s="1"/>
      <c r="B1" s="1"/>
      <c r="C1" s="1"/>
      <c r="D1" s="1"/>
      <c r="E1" s="1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8" t="s">
        <v>1</v>
      </c>
      <c r="D2" s="1"/>
      <c r="E2" s="1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8" t="s">
        <v>4</v>
      </c>
      <c r="D3" s="1"/>
      <c r="E3" s="1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8" t="s">
        <v>6</v>
      </c>
      <c r="D4" s="1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2"/>
      <c r="D5" s="14" t="s">
        <v>8</v>
      </c>
      <c r="E5" s="17" t="s">
        <v>10</v>
      </c>
      <c r="F5" s="19"/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2" t="s">
        <v>13</v>
      </c>
      <c r="D6" s="25">
        <v>250000.0</v>
      </c>
      <c r="E6" s="32">
        <f>D6*300</f>
        <v>75000000</v>
      </c>
      <c r="F6" s="19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E7" s="33"/>
      <c r="F7" s="19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4" t="s">
        <v>26</v>
      </c>
      <c r="E8" s="33"/>
      <c r="F8" s="19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C9" s="12" t="s">
        <v>28</v>
      </c>
      <c r="D9" s="25">
        <v>180000.0</v>
      </c>
      <c r="E9" s="32">
        <f t="shared" ref="E9:E10" si="1">D9*300</f>
        <v>54000000</v>
      </c>
      <c r="F9" s="19"/>
      <c r="G9" s="3"/>
      <c r="H9" s="19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2" t="s">
        <v>32</v>
      </c>
      <c r="D10" s="25">
        <v>20000.0</v>
      </c>
      <c r="E10" s="37">
        <f t="shared" si="1"/>
        <v>6000000</v>
      </c>
      <c r="F10" s="38"/>
      <c r="G10" s="39" t="s">
        <v>35</v>
      </c>
      <c r="H10" s="3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C11" s="12"/>
      <c r="D11" s="42"/>
      <c r="E11" s="43"/>
      <c r="F11" s="38"/>
      <c r="G11" s="44">
        <f>SUM(E9:E10)</f>
        <v>60000000</v>
      </c>
      <c r="H11" s="3"/>
      <c r="I11" s="1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34" t="s">
        <v>45</v>
      </c>
      <c r="C12" s="12"/>
      <c r="D12" s="25"/>
      <c r="E12" s="32"/>
      <c r="F12" s="19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2" t="s">
        <v>47</v>
      </c>
      <c r="E13" s="33"/>
      <c r="F13" s="19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48" t="s">
        <v>48</v>
      </c>
      <c r="C14" s="12"/>
      <c r="D14" s="25"/>
      <c r="E14" s="32"/>
      <c r="F14" s="19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2" t="s">
        <v>51</v>
      </c>
      <c r="D15" s="25">
        <v>7500.0</v>
      </c>
      <c r="E15" s="32">
        <f t="shared" ref="E15:E17" si="2">D15*300</f>
        <v>2250000</v>
      </c>
      <c r="F15" s="19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2" t="s">
        <v>53</v>
      </c>
      <c r="D16" s="25">
        <v>4000.0</v>
      </c>
      <c r="E16" s="32">
        <f t="shared" si="2"/>
        <v>1200000</v>
      </c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2" t="s">
        <v>42</v>
      </c>
      <c r="D17" s="25">
        <v>2500.0</v>
      </c>
      <c r="E17" s="32">
        <f t="shared" si="2"/>
        <v>750000</v>
      </c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8" t="s">
        <v>54</v>
      </c>
      <c r="C18" s="12"/>
      <c r="D18" s="25"/>
      <c r="E18" s="32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2" t="s">
        <v>44</v>
      </c>
      <c r="E19" s="54">
        <v>1000000.0</v>
      </c>
      <c r="F19" s="39" t="s">
        <v>55</v>
      </c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E20" s="33"/>
      <c r="F20" s="55">
        <f>SUM(E15:E19)</f>
        <v>5200000</v>
      </c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2" t="s">
        <v>56</v>
      </c>
      <c r="C21" s="12"/>
      <c r="D21" s="25"/>
      <c r="E21" s="32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8" t="s">
        <v>48</v>
      </c>
      <c r="C22" s="12"/>
      <c r="D22" s="25"/>
      <c r="E22" s="32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2" t="s">
        <v>24</v>
      </c>
      <c r="D23" s="25">
        <v>1500.0</v>
      </c>
      <c r="E23" s="32">
        <f t="shared" ref="E23:E24" si="3">D23*300</f>
        <v>450000</v>
      </c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2" t="s">
        <v>57</v>
      </c>
      <c r="D24" s="25">
        <v>3500.0</v>
      </c>
      <c r="E24" s="32">
        <f t="shared" si="3"/>
        <v>1050000</v>
      </c>
      <c r="F24" s="3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8" t="s">
        <v>54</v>
      </c>
      <c r="C25" s="1"/>
      <c r="D25" s="1"/>
      <c r="E25" s="56"/>
      <c r="F25" s="3"/>
      <c r="G25" s="3"/>
      <c r="H25" s="3"/>
      <c r="I25" s="57"/>
      <c r="J25" s="58"/>
      <c r="K25" s="5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2" t="s">
        <v>21</v>
      </c>
      <c r="E26" s="43">
        <v>2000000.0</v>
      </c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59" t="s">
        <v>58</v>
      </c>
      <c r="E27" s="54">
        <v>1200000.0</v>
      </c>
      <c r="F27" s="39" t="s">
        <v>59</v>
      </c>
      <c r="G27" s="38"/>
      <c r="H27" s="3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59"/>
      <c r="D28" s="1"/>
      <c r="E28" s="1"/>
      <c r="F28" s="60">
        <f>SUM(E23:E27)</f>
        <v>4700000</v>
      </c>
      <c r="G28" s="39" t="s">
        <v>60</v>
      </c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61"/>
      <c r="E29" s="1"/>
      <c r="F29" s="3"/>
      <c r="G29" s="60">
        <f>F28+F20</f>
        <v>9900000</v>
      </c>
      <c r="H29" s="39" t="s">
        <v>61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59"/>
      <c r="D30" s="1"/>
      <c r="E30" s="1"/>
      <c r="F30" s="3"/>
      <c r="G30" s="3"/>
      <c r="H30" s="62">
        <f>G29+G11</f>
        <v>69900000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8" t="s">
        <v>62</v>
      </c>
      <c r="C31" s="1"/>
      <c r="D31" s="12"/>
      <c r="E31" s="1"/>
      <c r="F31" s="3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8" t="s">
        <v>63</v>
      </c>
      <c r="C32" s="1"/>
      <c r="D32" s="1"/>
      <c r="E32" s="1"/>
      <c r="F32" s="3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8" t="s">
        <v>64</v>
      </c>
      <c r="C33" s="1"/>
      <c r="D33" s="1"/>
      <c r="E33" s="1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8" t="s">
        <v>65</v>
      </c>
      <c r="C34" s="1"/>
      <c r="D34" s="1"/>
      <c r="E34" s="1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3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3" t="s">
        <v>66</v>
      </c>
      <c r="C36" s="64">
        <v>3680000.0</v>
      </c>
      <c r="D36" s="65"/>
      <c r="E36" s="66"/>
      <c r="F36" s="3"/>
      <c r="G36" s="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67" t="s">
        <v>67</v>
      </c>
      <c r="C37" s="68">
        <v>5000000.0</v>
      </c>
      <c r="D37" s="69"/>
      <c r="E37" s="70"/>
      <c r="F37" s="3"/>
      <c r="G37" s="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67" t="s">
        <v>42</v>
      </c>
      <c r="C38" s="68">
        <v>750000.0</v>
      </c>
      <c r="D38" s="69"/>
      <c r="E38" s="70"/>
      <c r="F38" s="3"/>
      <c r="G38" s="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67" t="s">
        <v>68</v>
      </c>
      <c r="C39" s="68">
        <v>0.0</v>
      </c>
      <c r="D39" s="71" t="s">
        <v>69</v>
      </c>
      <c r="E39" s="72"/>
      <c r="F39" s="3"/>
      <c r="G39" s="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67" t="s">
        <v>70</v>
      </c>
      <c r="C40" s="68">
        <v>500000.0</v>
      </c>
      <c r="D40" s="69"/>
      <c r="E40" s="70"/>
      <c r="F40" s="3"/>
      <c r="G40" s="3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7" t="s">
        <v>71</v>
      </c>
      <c r="C41" s="68">
        <v>2.0E7</v>
      </c>
      <c r="D41" s="69"/>
      <c r="E41" s="70"/>
      <c r="F41" s="3"/>
      <c r="G41" s="3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67" t="s">
        <v>72</v>
      </c>
      <c r="C42" s="68">
        <v>6900000.0</v>
      </c>
      <c r="D42" s="69"/>
      <c r="E42" s="70"/>
      <c r="F42" s="3"/>
      <c r="G42" s="3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67" t="s">
        <v>73</v>
      </c>
      <c r="C43" s="68">
        <v>1050000.0</v>
      </c>
      <c r="D43" s="69"/>
      <c r="E43" s="70"/>
      <c r="F43" s="3"/>
      <c r="G43" s="3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73"/>
      <c r="C44" s="69"/>
      <c r="D44" s="68">
        <f>SUM(C36:C43)-C56</f>
        <v>37880000</v>
      </c>
      <c r="E44" s="70"/>
      <c r="F44" s="3"/>
      <c r="G44" s="3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67" t="s">
        <v>74</v>
      </c>
      <c r="C45" s="68">
        <v>9000000.0</v>
      </c>
      <c r="D45" s="69"/>
      <c r="E45" s="70"/>
      <c r="F45" s="3"/>
      <c r="G45" s="3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67" t="s">
        <v>75</v>
      </c>
      <c r="C46" s="68">
        <v>1000000.0</v>
      </c>
      <c r="D46" s="69"/>
      <c r="E46" s="70"/>
      <c r="F46" s="3"/>
      <c r="G46" s="3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67" t="s">
        <v>76</v>
      </c>
      <c r="C47" s="68">
        <v>0.0</v>
      </c>
      <c r="D47" s="71" t="s">
        <v>77</v>
      </c>
      <c r="E47" s="72"/>
      <c r="F47" s="3"/>
      <c r="G47" s="3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67" t="s">
        <v>78</v>
      </c>
      <c r="C48" s="68">
        <v>2.05E7</v>
      </c>
      <c r="D48" s="69"/>
      <c r="E48" s="70"/>
      <c r="F48" s="3"/>
      <c r="G48" s="3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73"/>
      <c r="C49" s="69"/>
      <c r="D49" s="69"/>
      <c r="E49" s="70"/>
      <c r="F49" s="3"/>
      <c r="G49" s="3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67" t="s">
        <v>79</v>
      </c>
      <c r="C50" s="68">
        <v>1000000.0</v>
      </c>
      <c r="D50" s="69"/>
      <c r="E50" s="70"/>
      <c r="F50" s="3"/>
      <c r="G50" s="3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67" t="s">
        <v>80</v>
      </c>
      <c r="C51" s="68">
        <v>200000.0</v>
      </c>
      <c r="D51" s="69"/>
      <c r="E51" s="70"/>
      <c r="F51" s="3"/>
      <c r="G51" s="3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74"/>
      <c r="C52" s="75"/>
      <c r="D52" s="76">
        <f>sum(C45:C51)</f>
        <v>31700000</v>
      </c>
      <c r="E52" s="77"/>
      <c r="F52" s="3"/>
      <c r="G52" s="3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3"/>
      <c r="G53" s="3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3"/>
      <c r="G54" s="3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3"/>
      <c r="G55" s="3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3"/>
      <c r="G56" s="3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3"/>
      <c r="G57" s="3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3"/>
      <c r="G58" s="3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3"/>
      <c r="G59" s="3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3"/>
      <c r="G60" s="3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3"/>
      <c r="G61" s="3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3"/>
      <c r="G62" s="3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3"/>
      <c r="G63" s="3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3"/>
      <c r="G64" s="3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3"/>
      <c r="G65" s="3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3"/>
      <c r="G66" s="3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3"/>
      <c r="G67" s="3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3"/>
      <c r="G68" s="3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3"/>
      <c r="G69" s="3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3"/>
      <c r="G70" s="3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3"/>
      <c r="G71" s="3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3"/>
      <c r="G72" s="3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3"/>
      <c r="G73" s="3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3"/>
      <c r="G74" s="3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3"/>
      <c r="G75" s="3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3"/>
      <c r="G76" s="3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3"/>
      <c r="G77" s="3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3"/>
      <c r="G78" s="3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3"/>
      <c r="G79" s="3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3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3"/>
      <c r="G81" s="3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3"/>
      <c r="G82" s="3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3"/>
      <c r="G83" s="3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3"/>
      <c r="G84" s="3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3"/>
      <c r="G85" s="3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3"/>
      <c r="G86" s="3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3"/>
      <c r="G87" s="3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3"/>
      <c r="G88" s="3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3"/>
      <c r="G89" s="3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3"/>
      <c r="G90" s="3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3"/>
      <c r="G91" s="3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3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3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3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3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3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3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3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3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3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3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3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3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3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3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3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3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3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3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3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3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3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3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3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3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3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3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3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3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3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3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3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3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3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3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3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3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3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3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3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3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3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3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3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3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3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3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3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3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3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3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3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3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3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3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3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3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3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3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3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3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3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3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3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3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3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3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3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3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3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3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3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3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3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3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3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3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3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3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3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3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3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3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3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3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3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3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3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3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3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3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3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3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3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3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3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3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3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3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3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3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3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3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3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3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3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3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3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3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3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3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3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3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3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3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3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3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3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3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3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3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3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3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3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3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3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3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3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3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3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3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3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3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3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3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3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3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3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3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3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3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3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3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3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3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3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3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3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3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3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3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3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3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3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3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3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3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3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3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3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3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3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3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3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3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3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3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3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3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3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3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3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3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3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3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3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3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3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3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3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3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3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3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3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3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3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3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3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3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3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3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3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3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3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3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3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3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3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3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3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3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3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3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3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3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3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3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3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3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3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3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3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3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3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3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3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3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3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3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3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3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3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3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3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3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3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3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3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3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3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3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3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3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3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3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3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3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3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3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3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3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3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3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3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3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3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3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3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3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3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3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3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3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3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3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3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3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3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3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3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3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3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3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3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3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3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3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3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3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3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3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3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3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3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3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3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3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3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3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3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3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3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3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3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3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3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3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3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3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3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3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3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3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3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3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3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3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3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3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3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3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3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3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3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3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3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3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3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3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3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3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3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3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3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3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3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3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3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3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3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3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3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3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3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3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3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3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3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3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3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3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3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3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3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3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3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3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3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3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3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3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3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3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3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3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3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3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3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3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3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3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3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3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3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3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3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3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3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3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3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3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3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3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3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3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3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3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3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3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3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3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3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3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3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3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3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3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3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3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3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3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3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3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3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3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3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3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3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3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3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3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3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3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3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3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3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3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3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3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3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3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3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3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3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3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3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3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3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3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3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3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3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3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3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3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3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3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3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3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3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3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3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3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3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3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3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3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3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3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3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3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3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3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3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3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3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3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3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3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3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3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3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3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3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3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3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3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3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3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3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3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3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3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3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3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3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3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3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3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3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3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3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3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3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3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3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3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3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3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3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3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3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3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3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3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3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3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3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3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3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3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3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3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3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3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3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3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3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3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3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3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3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3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3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3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3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3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3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3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3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3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3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3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3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3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3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3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3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3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3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3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3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3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3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3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3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3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3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3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3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3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3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3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3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3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3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3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3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3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3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3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3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3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3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3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3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3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3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3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3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3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3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3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3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3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3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3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3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3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3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3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3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3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3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3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3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3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3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3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3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3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3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3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3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3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3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3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3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3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3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3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3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3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3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3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3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3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3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3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3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3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3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3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3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3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3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3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3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3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3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3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3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3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3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3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3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3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3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3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3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3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3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3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3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3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3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3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3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3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3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3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3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3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3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3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3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3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3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3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3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3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3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3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3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3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3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3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3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3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3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3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3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3"/>
      <c r="G723" s="3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3"/>
      <c r="G724" s="3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3"/>
      <c r="G725" s="3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3"/>
      <c r="G726" s="3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3"/>
      <c r="G727" s="3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3"/>
      <c r="G728" s="3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3"/>
      <c r="G729" s="3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3"/>
      <c r="G730" s="3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3"/>
      <c r="G731" s="3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3"/>
      <c r="G732" s="3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3"/>
      <c r="G733" s="3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3"/>
      <c r="G734" s="3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3"/>
      <c r="G735" s="3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3"/>
      <c r="G736" s="3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3"/>
      <c r="G737" s="3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3"/>
      <c r="G738" s="3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3"/>
      <c r="G739" s="3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3"/>
      <c r="G740" s="3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3"/>
      <c r="G741" s="3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3"/>
      <c r="G742" s="3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3"/>
      <c r="G743" s="3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3"/>
      <c r="G744" s="3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3"/>
      <c r="G745" s="3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3"/>
      <c r="G746" s="3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3"/>
      <c r="G747" s="3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3"/>
      <c r="G748" s="3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3"/>
      <c r="G749" s="3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3"/>
      <c r="G750" s="3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3"/>
      <c r="G751" s="3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3"/>
      <c r="G752" s="3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3"/>
      <c r="G753" s="3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3"/>
      <c r="G754" s="3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3"/>
      <c r="G755" s="3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3"/>
      <c r="G756" s="3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3"/>
      <c r="G757" s="3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3"/>
      <c r="G758" s="3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3"/>
      <c r="G759" s="3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3"/>
      <c r="G760" s="3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3"/>
      <c r="G761" s="3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3"/>
      <c r="G762" s="3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3"/>
      <c r="G763" s="3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3"/>
      <c r="G764" s="3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3"/>
      <c r="G765" s="3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3"/>
      <c r="G766" s="3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3"/>
      <c r="G767" s="3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3"/>
      <c r="G768" s="3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3"/>
      <c r="G769" s="3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3"/>
      <c r="G770" s="3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3"/>
      <c r="G771" s="3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3"/>
      <c r="G772" s="3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3"/>
      <c r="G773" s="3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3"/>
      <c r="G774" s="3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3"/>
      <c r="G775" s="3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3"/>
      <c r="G776" s="3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3"/>
      <c r="G777" s="3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3"/>
      <c r="G778" s="3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3"/>
      <c r="G779" s="3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3"/>
      <c r="G780" s="3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3"/>
      <c r="G781" s="3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3"/>
      <c r="G782" s="3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3"/>
      <c r="G783" s="3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3"/>
      <c r="G784" s="3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3"/>
      <c r="G785" s="3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3"/>
      <c r="G786" s="3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3"/>
      <c r="G787" s="3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3"/>
      <c r="G788" s="3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3"/>
      <c r="G789" s="3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3"/>
      <c r="G790" s="3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3"/>
      <c r="G791" s="3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3"/>
      <c r="G792" s="3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3"/>
      <c r="G793" s="3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3"/>
      <c r="G794" s="3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3"/>
      <c r="G795" s="3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3"/>
      <c r="G796" s="3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3"/>
      <c r="G797" s="3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3"/>
      <c r="G798" s="3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3"/>
      <c r="G799" s="3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3"/>
      <c r="G800" s="3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3"/>
      <c r="G801" s="3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3"/>
      <c r="G802" s="3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3"/>
      <c r="G803" s="3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3"/>
      <c r="G804" s="3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3"/>
      <c r="G805" s="3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3"/>
      <c r="G806" s="3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3"/>
      <c r="G807" s="3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3"/>
      <c r="G808" s="3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3"/>
      <c r="G809" s="3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3"/>
      <c r="G810" s="3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3"/>
      <c r="G811" s="3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3"/>
      <c r="G812" s="3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3"/>
      <c r="G813" s="3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3"/>
      <c r="G814" s="3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3"/>
      <c r="G815" s="3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3"/>
      <c r="G816" s="3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3"/>
      <c r="G817" s="3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3"/>
      <c r="G818" s="3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3"/>
      <c r="G819" s="3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3"/>
      <c r="G820" s="3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3"/>
      <c r="G821" s="3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3"/>
      <c r="G822" s="3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3"/>
      <c r="G823" s="3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3"/>
      <c r="G824" s="3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3"/>
      <c r="G825" s="3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3"/>
      <c r="G826" s="3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3"/>
      <c r="G827" s="3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3"/>
      <c r="G828" s="3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3"/>
      <c r="G829" s="3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3"/>
      <c r="G830" s="3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3"/>
      <c r="G831" s="3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3"/>
      <c r="G832" s="3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3"/>
      <c r="G833" s="3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3"/>
      <c r="G834" s="3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3"/>
      <c r="G835" s="3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3"/>
      <c r="G836" s="3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3"/>
      <c r="G837" s="3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3"/>
      <c r="G838" s="3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3"/>
      <c r="G839" s="3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3"/>
      <c r="G840" s="3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3"/>
      <c r="G841" s="3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3"/>
      <c r="G842" s="3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3"/>
      <c r="G843" s="3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3"/>
      <c r="G844" s="3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3"/>
      <c r="G845" s="3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3"/>
      <c r="G846" s="3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3"/>
      <c r="G847" s="3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3"/>
      <c r="G848" s="3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3"/>
      <c r="G849" s="3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3"/>
      <c r="G850" s="3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3"/>
      <c r="G851" s="3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3"/>
      <c r="G852" s="3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3"/>
      <c r="G853" s="3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3"/>
      <c r="G854" s="3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3"/>
      <c r="G855" s="3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3"/>
      <c r="G856" s="3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3"/>
      <c r="G857" s="3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3"/>
      <c r="G858" s="3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3"/>
      <c r="G859" s="3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3"/>
      <c r="G860" s="3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3"/>
      <c r="G861" s="3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3"/>
      <c r="G862" s="3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3"/>
      <c r="G863" s="3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3"/>
      <c r="G864" s="3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3"/>
      <c r="G865" s="3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3"/>
      <c r="G866" s="3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3"/>
      <c r="G867" s="3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3"/>
      <c r="G868" s="3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3"/>
      <c r="G869" s="3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3"/>
      <c r="G870" s="3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3"/>
      <c r="G871" s="3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3"/>
      <c r="G872" s="3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3"/>
      <c r="G873" s="3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3"/>
      <c r="G874" s="3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3"/>
      <c r="G875" s="3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3"/>
      <c r="G876" s="3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3"/>
      <c r="G877" s="3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3"/>
      <c r="G878" s="3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3"/>
      <c r="G879" s="3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3"/>
      <c r="G880" s="3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3"/>
      <c r="G881" s="3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3"/>
      <c r="G882" s="3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3"/>
      <c r="G883" s="3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3"/>
      <c r="G884" s="3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3"/>
      <c r="G885" s="3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3"/>
      <c r="G886" s="3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3"/>
      <c r="G887" s="3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3"/>
      <c r="G888" s="3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3"/>
      <c r="G889" s="3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3"/>
      <c r="G890" s="3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3"/>
      <c r="G891" s="3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3"/>
      <c r="G892" s="3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3"/>
      <c r="G893" s="3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3"/>
      <c r="G894" s="3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3"/>
      <c r="G895" s="3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3"/>
      <c r="G896" s="3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3"/>
      <c r="G897" s="3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3"/>
      <c r="G898" s="3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3"/>
      <c r="G899" s="3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3"/>
      <c r="G900" s="3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3"/>
      <c r="G901" s="3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3"/>
      <c r="G902" s="3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3"/>
      <c r="G903" s="3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3"/>
      <c r="G904" s="3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3"/>
      <c r="G905" s="3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3"/>
      <c r="G906" s="3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3"/>
      <c r="G907" s="3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3"/>
      <c r="G908" s="3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3"/>
      <c r="G909" s="3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3"/>
      <c r="G910" s="3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3"/>
      <c r="G911" s="3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3"/>
      <c r="G912" s="3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3"/>
      <c r="G913" s="3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3"/>
      <c r="G914" s="3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3"/>
      <c r="G915" s="3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3"/>
      <c r="G916" s="3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3"/>
      <c r="G917" s="3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3"/>
      <c r="G918" s="3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3"/>
      <c r="G919" s="3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3"/>
      <c r="G920" s="3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3"/>
      <c r="G921" s="3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3"/>
      <c r="G922" s="3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3"/>
      <c r="G923" s="3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3"/>
      <c r="G924" s="3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3"/>
      <c r="G925" s="3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3"/>
      <c r="G926" s="3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3"/>
      <c r="G927" s="3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3"/>
      <c r="G928" s="3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3"/>
      <c r="G929" s="3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3"/>
      <c r="G930" s="3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3"/>
      <c r="G931" s="3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3"/>
      <c r="G932" s="3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3"/>
      <c r="G933" s="3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3"/>
      <c r="G934" s="3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3"/>
      <c r="G935" s="3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3"/>
      <c r="G936" s="3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3"/>
      <c r="G937" s="3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3"/>
      <c r="G938" s="3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3"/>
      <c r="G939" s="3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3"/>
      <c r="G940" s="3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3"/>
      <c r="G941" s="3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3"/>
      <c r="G942" s="3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3"/>
      <c r="G943" s="3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3"/>
      <c r="G944" s="3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3"/>
      <c r="G945" s="3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3"/>
      <c r="G946" s="3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3"/>
      <c r="G947" s="3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3"/>
      <c r="G948" s="3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3"/>
      <c r="G949" s="3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3"/>
      <c r="G950" s="3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3"/>
      <c r="G951" s="3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3"/>
      <c r="G952" s="3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3"/>
      <c r="G953" s="3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3"/>
      <c r="G954" s="3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3"/>
      <c r="G955" s="3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3"/>
      <c r="G956" s="3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3"/>
      <c r="G957" s="3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3"/>
      <c r="G958" s="3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3"/>
      <c r="G959" s="3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3"/>
      <c r="G960" s="3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3"/>
      <c r="G961" s="3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3"/>
      <c r="G962" s="3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3"/>
      <c r="G963" s="3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3"/>
      <c r="G964" s="3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3"/>
      <c r="G965" s="3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3"/>
      <c r="G966" s="3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3"/>
      <c r="G967" s="3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3"/>
      <c r="G968" s="3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3"/>
      <c r="G969" s="3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3"/>
      <c r="G970" s="3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3"/>
      <c r="G971" s="3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3"/>
      <c r="G972" s="3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3"/>
      <c r="G973" s="3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3"/>
      <c r="G974" s="3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3"/>
      <c r="G975" s="3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3"/>
      <c r="G976" s="3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3"/>
      <c r="G977" s="3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3"/>
      <c r="G978" s="3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3"/>
      <c r="G979" s="3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3"/>
      <c r="G980" s="3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3"/>
      <c r="G981" s="3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3"/>
      <c r="G982" s="3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3"/>
      <c r="G983" s="3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3"/>
      <c r="G984" s="3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3"/>
      <c r="G985" s="3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3"/>
      <c r="G986" s="3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3"/>
      <c r="G987" s="3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3"/>
      <c r="G988" s="3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3"/>
      <c r="G989" s="3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3"/>
      <c r="G990" s="3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3"/>
      <c r="G991" s="3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3"/>
      <c r="G992" s="3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3"/>
      <c r="G993" s="3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3"/>
      <c r="G994" s="3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3"/>
      <c r="G995" s="3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3"/>
      <c r="G996" s="3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3"/>
      <c r="G997" s="3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3"/>
      <c r="G998" s="3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3"/>
      <c r="G999" s="3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29.25"/>
    <col customWidth="1" min="4" max="4" width="9.63"/>
    <col customWidth="1" min="5" max="6" width="10.5"/>
  </cols>
  <sheetData>
    <row r="1">
      <c r="A1" s="5"/>
      <c r="B1" s="6"/>
      <c r="C1" s="6"/>
      <c r="D1" s="6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9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9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9" t="s">
        <v>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20" t="s">
        <v>11</v>
      </c>
      <c r="C5" s="21"/>
      <c r="D5" s="21"/>
      <c r="E5" s="21"/>
      <c r="F5" s="24">
        <v>0.0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26" t="s">
        <v>16</v>
      </c>
      <c r="C6" s="5"/>
      <c r="D6" s="5"/>
      <c r="E6" s="28">
        <v>0.0</v>
      </c>
      <c r="F6" s="2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26" t="s">
        <v>18</v>
      </c>
      <c r="C7" s="5"/>
      <c r="D7" s="5"/>
      <c r="E7" s="31">
        <v>5.4E7</v>
      </c>
      <c r="F7" s="2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26" t="s">
        <v>22</v>
      </c>
      <c r="C8" s="5"/>
      <c r="D8" s="5"/>
      <c r="E8" s="5">
        <f>sum(E6:E7)</f>
        <v>54000000</v>
      </c>
      <c r="F8" s="2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26" t="s">
        <v>30</v>
      </c>
      <c r="C9" s="5"/>
      <c r="D9" s="5"/>
      <c r="E9" s="31">
        <v>0.0</v>
      </c>
      <c r="F9" s="2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26" t="s">
        <v>31</v>
      </c>
      <c r="C10" s="5"/>
      <c r="D10" s="5"/>
      <c r="E10" s="36">
        <f>E8-E9</f>
        <v>54000000</v>
      </c>
      <c r="F10" s="2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26" t="s">
        <v>34</v>
      </c>
      <c r="C11" s="5"/>
      <c r="D11" s="5"/>
      <c r="E11" s="28">
        <v>6000000.0</v>
      </c>
      <c r="F11" s="2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26" t="s">
        <v>37</v>
      </c>
      <c r="C12" s="5"/>
      <c r="D12" s="5"/>
      <c r="E12" s="5"/>
      <c r="F12" s="2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26" t="s">
        <v>39</v>
      </c>
      <c r="C13" s="5"/>
      <c r="D13" s="28">
        <v>2250000.0</v>
      </c>
      <c r="E13" s="5"/>
      <c r="F13" s="2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26" t="s">
        <v>41</v>
      </c>
      <c r="C14" s="5"/>
      <c r="D14" s="28">
        <v>1200000.0</v>
      </c>
      <c r="E14" s="5"/>
      <c r="F14" s="2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26" t="s">
        <v>42</v>
      </c>
      <c r="C15" s="5"/>
      <c r="D15" s="28">
        <v>750000.0</v>
      </c>
      <c r="E15" s="5"/>
      <c r="F15" s="2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26" t="s">
        <v>44</v>
      </c>
      <c r="C16" s="5"/>
      <c r="D16" s="31">
        <v>1000000.0</v>
      </c>
      <c r="E16" s="5"/>
      <c r="F16" s="2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26" t="s">
        <v>46</v>
      </c>
      <c r="C17" s="5"/>
      <c r="D17" s="5"/>
      <c r="E17" s="5">
        <f>sum(D13:D16)</f>
        <v>5200000</v>
      </c>
      <c r="F17" s="2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26" t="s">
        <v>49</v>
      </c>
      <c r="C18" s="5"/>
      <c r="D18" s="5"/>
      <c r="E18" s="5"/>
      <c r="F18" s="50">
        <f>E10+E11+E17</f>
        <v>65200000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26" t="s">
        <v>50</v>
      </c>
      <c r="C19" s="5"/>
      <c r="D19" s="5"/>
      <c r="E19" s="5"/>
      <c r="F19" s="29">
        <f>SUM(F5:F18)</f>
        <v>65200000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26" t="s">
        <v>52</v>
      </c>
      <c r="C20" s="5"/>
      <c r="D20" s="5"/>
      <c r="E20" s="5"/>
      <c r="F20" s="51">
        <v>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2" t="s">
        <v>14</v>
      </c>
      <c r="C21" s="53"/>
      <c r="D21" s="53"/>
      <c r="E21" s="53"/>
      <c r="F21" s="50">
        <f>F19-F20</f>
        <v>65200000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1"/>
      <c r="C24" s="1"/>
      <c r="D24" s="1"/>
      <c r="E24" s="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1"/>
      <c r="C25" s="1"/>
      <c r="D25" s="1"/>
      <c r="E25" s="1"/>
      <c r="F25" s="2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1"/>
      <c r="C26" s="1"/>
      <c r="D26" s="1"/>
      <c r="E26" s="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1"/>
      <c r="C27" s="1"/>
      <c r="D27" s="1"/>
      <c r="E27" s="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1"/>
      <c r="C28" s="1"/>
      <c r="D28" s="1"/>
      <c r="E28" s="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1"/>
      <c r="C29" s="1"/>
      <c r="D29" s="1"/>
      <c r="E29" s="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1"/>
      <c r="C30" s="1"/>
      <c r="D30" s="1"/>
      <c r="E30" s="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3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3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3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36"/>
      <c r="D34" s="5"/>
      <c r="E34" s="2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36"/>
      <c r="D35" s="5"/>
      <c r="E35" s="2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36"/>
      <c r="D36" s="5"/>
      <c r="E36" s="2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36"/>
      <c r="D37" s="5"/>
      <c r="E37" s="2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3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3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3">
    <mergeCell ref="B2:F2"/>
    <mergeCell ref="B3:F3"/>
    <mergeCell ref="B4:F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6" width="21.75"/>
  </cols>
  <sheetData>
    <row r="1">
      <c r="A1" s="2"/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7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7" t="s">
        <v>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7" t="s">
        <v>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 t="s">
        <v>5</v>
      </c>
      <c r="C5" s="11"/>
      <c r="D5" s="11"/>
      <c r="E5" s="11"/>
      <c r="F5" s="13">
        <v>7.5E7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5" t="s">
        <v>9</v>
      </c>
      <c r="C6" s="16"/>
      <c r="D6" s="16"/>
      <c r="E6" s="16"/>
      <c r="F6" s="1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2"/>
      <c r="C7" s="23" t="s">
        <v>12</v>
      </c>
      <c r="D7" s="16"/>
      <c r="E7" s="23">
        <v>0.0</v>
      </c>
      <c r="F7" s="1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2"/>
      <c r="C8" s="23" t="s">
        <v>14</v>
      </c>
      <c r="D8" s="16"/>
      <c r="E8" s="16">
        <v>6.52E7</v>
      </c>
      <c r="F8" s="1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2"/>
      <c r="C9" s="23" t="s">
        <v>15</v>
      </c>
      <c r="D9" s="16"/>
      <c r="E9" s="16">
        <v>6.52E7</v>
      </c>
      <c r="F9" s="1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2"/>
      <c r="C10" s="23" t="s">
        <v>17</v>
      </c>
      <c r="D10" s="16"/>
      <c r="E10" s="27">
        <v>0.0</v>
      </c>
      <c r="F10" s="1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5" t="s">
        <v>9</v>
      </c>
      <c r="C11" s="16"/>
      <c r="D11" s="16"/>
      <c r="E11" s="16"/>
      <c r="F11" s="30">
        <v>6.52E7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5" t="s">
        <v>19</v>
      </c>
      <c r="C12" s="16"/>
      <c r="D12" s="16"/>
      <c r="E12" s="16"/>
      <c r="F12" s="18">
        <v>9800000.0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5" t="s">
        <v>20</v>
      </c>
      <c r="C13" s="16"/>
      <c r="D13" s="16"/>
      <c r="E13" s="16"/>
      <c r="F13" s="1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2"/>
      <c r="C14" s="23" t="s">
        <v>21</v>
      </c>
      <c r="D14" s="16"/>
      <c r="E14" s="23">
        <v>2000000.0</v>
      </c>
      <c r="F14" s="1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2"/>
      <c r="C15" s="23" t="s">
        <v>23</v>
      </c>
      <c r="D15" s="16"/>
      <c r="E15" s="23">
        <v>1200000.0</v>
      </c>
      <c r="F15" s="1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2"/>
      <c r="C16" s="23" t="s">
        <v>24</v>
      </c>
      <c r="D16" s="16"/>
      <c r="E16" s="23">
        <v>450000.0</v>
      </c>
      <c r="F16" s="1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2"/>
      <c r="C17" s="23" t="s">
        <v>25</v>
      </c>
      <c r="D17" s="16"/>
      <c r="E17" s="27">
        <v>1050000.0</v>
      </c>
      <c r="F17" s="1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5" t="s">
        <v>27</v>
      </c>
      <c r="C18" s="16"/>
      <c r="D18" s="16"/>
      <c r="E18" s="16"/>
      <c r="F18" s="30">
        <v>4700000.0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5" t="s">
        <v>29</v>
      </c>
      <c r="C19" s="2"/>
      <c r="D19" s="2"/>
      <c r="E19" s="2"/>
      <c r="F19" s="18">
        <f>SUM(F12-F18)</f>
        <v>5100000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5" t="s">
        <v>33</v>
      </c>
      <c r="C20" s="16"/>
      <c r="D20" s="16"/>
      <c r="E20" s="16"/>
      <c r="F20" s="1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5"/>
      <c r="C21" s="23" t="s">
        <v>36</v>
      </c>
      <c r="D21" s="16"/>
      <c r="E21" s="23">
        <v>-50000.0</v>
      </c>
      <c r="F21" s="1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40"/>
      <c r="C22" s="4" t="s">
        <v>38</v>
      </c>
      <c r="D22" s="2"/>
      <c r="E22" s="23">
        <v>-1000000.0</v>
      </c>
      <c r="F22" s="4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35" t="s">
        <v>40</v>
      </c>
      <c r="C23" s="2"/>
      <c r="D23" s="2"/>
      <c r="E23" s="2"/>
      <c r="F23" s="30">
        <f>SUM(E21:E22)</f>
        <v>-1050000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45" t="s">
        <v>43</v>
      </c>
      <c r="C24" s="46"/>
      <c r="D24" s="46"/>
      <c r="E24" s="46"/>
      <c r="F24" s="47">
        <f>SUM(F19:F23)</f>
        <v>4050000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9"/>
      <c r="C26" s="2"/>
      <c r="D26" s="49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9"/>
      <c r="C27" s="2"/>
      <c r="D27" s="4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9"/>
      <c r="C28" s="49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9"/>
      <c r="C29" s="4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2"/>
      <c r="C37" s="49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B2:F2"/>
    <mergeCell ref="B3:F3"/>
    <mergeCell ref="B4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28.75"/>
    <col customWidth="1" min="5" max="5" width="9.6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9" t="s">
        <v>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9" t="s">
        <v>81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9" t="s">
        <v>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78" t="s">
        <v>82</v>
      </c>
      <c r="C5" s="79"/>
      <c r="D5" s="79"/>
      <c r="E5" s="80">
        <v>0.0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81" t="s">
        <v>43</v>
      </c>
      <c r="C6" s="6"/>
      <c r="D6" s="6"/>
      <c r="E6" s="82">
        <v>4050000.0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81" t="s">
        <v>83</v>
      </c>
      <c r="C7" s="6"/>
      <c r="D7" s="6"/>
      <c r="E7" s="51">
        <v>20000.0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83" t="s">
        <v>84</v>
      </c>
      <c r="C8" s="84"/>
      <c r="D8" s="84"/>
      <c r="E8" s="87">
        <f>E5+E6-E7</f>
        <v>4030000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B2:E2"/>
    <mergeCell ref="B3:E3"/>
    <mergeCell ref="B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28.88"/>
    <col customWidth="1" min="3" max="3" width="21.25"/>
    <col customWidth="1" min="4" max="6" width="10.5"/>
  </cols>
  <sheetData>
    <row r="1">
      <c r="A1" s="6"/>
      <c r="B1" s="6"/>
      <c r="C1" s="6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9" t="s">
        <v>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9" t="s">
        <v>85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85">
        <v>46022.0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78" t="s">
        <v>86</v>
      </c>
      <c r="C5" s="79"/>
      <c r="D5" s="21"/>
      <c r="E5" s="79"/>
      <c r="F5" s="8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81" t="s">
        <v>87</v>
      </c>
      <c r="C6" s="6"/>
      <c r="D6" s="5"/>
      <c r="E6" s="6"/>
      <c r="F6" s="88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89"/>
      <c r="C7" s="90" t="s">
        <v>66</v>
      </c>
      <c r="D7" s="36">
        <v>3680000.0</v>
      </c>
      <c r="E7" s="6"/>
      <c r="F7" s="8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89"/>
      <c r="C8" s="90" t="s">
        <v>88</v>
      </c>
      <c r="D8" s="36">
        <v>5000000.0</v>
      </c>
      <c r="E8" s="6"/>
      <c r="F8" s="88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89"/>
      <c r="C9" s="90" t="s">
        <v>42</v>
      </c>
      <c r="D9" s="36">
        <v>750000.0</v>
      </c>
      <c r="E9" s="6"/>
      <c r="F9" s="88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89"/>
      <c r="C10" s="90" t="s">
        <v>68</v>
      </c>
      <c r="D10" s="36">
        <v>0.0</v>
      </c>
      <c r="E10" s="6"/>
      <c r="F10" s="8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89"/>
      <c r="C11" s="90" t="s">
        <v>70</v>
      </c>
      <c r="D11" s="91">
        <v>500000.0</v>
      </c>
      <c r="E11" s="6"/>
      <c r="F11" s="88"/>
      <c r="G11" s="6"/>
      <c r="H11" s="6"/>
      <c r="I11" s="90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81" t="s">
        <v>89</v>
      </c>
      <c r="C12" s="6"/>
      <c r="D12" s="5"/>
      <c r="E12" s="5">
        <f>sum(D7:D11)</f>
        <v>9930000</v>
      </c>
      <c r="F12" s="8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81" t="s">
        <v>90</v>
      </c>
      <c r="C13" s="6"/>
      <c r="D13" s="5"/>
      <c r="E13" s="6"/>
      <c r="F13" s="8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89"/>
      <c r="C14" s="90" t="s">
        <v>91</v>
      </c>
      <c r="D14" s="36">
        <f>20500000 - 500000</f>
        <v>20000000</v>
      </c>
      <c r="E14" s="6"/>
      <c r="F14" s="92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89"/>
      <c r="C15" s="90" t="s">
        <v>72</v>
      </c>
      <c r="D15" s="36">
        <v>6900000.0</v>
      </c>
      <c r="E15" s="6"/>
      <c r="F15" s="88"/>
      <c r="G15" s="6"/>
      <c r="H15" s="90"/>
      <c r="I15" s="93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89"/>
      <c r="C16" s="90" t="s">
        <v>73</v>
      </c>
      <c r="D16" s="36">
        <v>1050000.0</v>
      </c>
      <c r="E16" s="6"/>
      <c r="F16" s="8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81"/>
      <c r="C17" s="90" t="s">
        <v>92</v>
      </c>
      <c r="D17" s="28">
        <v>-2150000.0</v>
      </c>
      <c r="E17" s="6"/>
      <c r="F17" s="8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81" t="s">
        <v>93</v>
      </c>
      <c r="C18" s="6"/>
      <c r="D18" s="5"/>
      <c r="E18" s="53">
        <f>SUM(D14:D17)</f>
        <v>25800000</v>
      </c>
      <c r="F18" s="8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83" t="s">
        <v>94</v>
      </c>
      <c r="C19" s="84"/>
      <c r="D19" s="94"/>
      <c r="E19" s="84"/>
      <c r="F19" s="87">
        <f>SUM(E12+E18)</f>
        <v>35730000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81" t="s">
        <v>95</v>
      </c>
      <c r="C20" s="6"/>
      <c r="D20" s="5"/>
      <c r="E20" s="6"/>
      <c r="F20" s="8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81" t="s">
        <v>96</v>
      </c>
      <c r="C21" s="6"/>
      <c r="D21" s="5"/>
      <c r="E21" s="6"/>
      <c r="F21" s="8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89"/>
      <c r="C22" s="90" t="s">
        <v>74</v>
      </c>
      <c r="D22" s="36">
        <v>9000000.0</v>
      </c>
      <c r="E22" s="6"/>
      <c r="F22" s="8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89"/>
      <c r="C23" s="90" t="s">
        <v>75</v>
      </c>
      <c r="D23" s="36">
        <v>1000000.0</v>
      </c>
      <c r="E23" s="6"/>
      <c r="F23" s="8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89"/>
      <c r="C24" s="90" t="s">
        <v>76</v>
      </c>
      <c r="D24" s="91">
        <v>0.0</v>
      </c>
      <c r="E24" s="6"/>
      <c r="F24" s="8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81" t="s">
        <v>97</v>
      </c>
      <c r="C25" s="6"/>
      <c r="D25" s="5"/>
      <c r="E25" s="5">
        <f>SUM((D22:D24))</f>
        <v>10000000</v>
      </c>
      <c r="F25" s="8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81" t="s">
        <v>98</v>
      </c>
      <c r="C26" s="6"/>
      <c r="D26" s="5"/>
      <c r="E26" s="6"/>
      <c r="F26" s="8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89"/>
      <c r="C27" s="90" t="s">
        <v>78</v>
      </c>
      <c r="D27" s="91">
        <v>2.05E7</v>
      </c>
      <c r="E27" s="6"/>
      <c r="F27" s="8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81" t="s">
        <v>99</v>
      </c>
      <c r="C28" s="6"/>
      <c r="D28" s="5"/>
      <c r="E28" s="53">
        <f>sum(D27)</f>
        <v>20500000</v>
      </c>
      <c r="F28" s="8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81" t="s">
        <v>100</v>
      </c>
      <c r="C29" s="6"/>
      <c r="D29" s="5"/>
      <c r="E29" s="6"/>
      <c r="F29" s="29">
        <f>sum(E25:E28)</f>
        <v>30500000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81" t="s">
        <v>101</v>
      </c>
      <c r="C30" s="6"/>
      <c r="D30" s="5"/>
      <c r="E30" s="6"/>
      <c r="F30" s="8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89"/>
      <c r="C31" s="90" t="s">
        <v>79</v>
      </c>
      <c r="D31" s="36">
        <v>1000000.0</v>
      </c>
      <c r="E31" s="6"/>
      <c r="F31" s="88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89"/>
      <c r="C32" s="90" t="s">
        <v>102</v>
      </c>
      <c r="D32" s="36">
        <v>200000.0</v>
      </c>
      <c r="E32" s="6"/>
      <c r="F32" s="8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89"/>
      <c r="C33" s="90" t="s">
        <v>103</v>
      </c>
      <c r="D33" s="53">
        <v>4030000.0</v>
      </c>
      <c r="E33" s="6"/>
      <c r="F33" s="8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81" t="s">
        <v>104</v>
      </c>
      <c r="C34" s="6"/>
      <c r="D34" s="5"/>
      <c r="E34" s="6"/>
      <c r="F34" s="50">
        <f>sum(D31:D33)</f>
        <v>5230000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89"/>
      <c r="C35" s="6"/>
      <c r="D35" s="5"/>
      <c r="E35" s="6"/>
      <c r="F35" s="8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83" t="s">
        <v>105</v>
      </c>
      <c r="C36" s="84"/>
      <c r="D36" s="94"/>
      <c r="E36" s="84"/>
      <c r="F36" s="87">
        <f>F29+F34</f>
        <v>35730000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5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3">
    <mergeCell ref="B2:F2"/>
    <mergeCell ref="B3:F3"/>
    <mergeCell ref="B4:F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8.75"/>
    <col customWidth="1" min="3" max="4" width="11.0"/>
  </cols>
  <sheetData>
    <row r="1">
      <c r="A1" s="6"/>
      <c r="B1" s="6"/>
      <c r="C1" s="95"/>
      <c r="D1" s="6"/>
      <c r="E1" s="90"/>
      <c r="F1" s="3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6"/>
      <c r="B2" s="96" t="s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96" t="s">
        <v>106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96" t="s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78" t="s">
        <v>107</v>
      </c>
      <c r="C5" s="97"/>
      <c r="D5" s="86"/>
      <c r="E5" s="6"/>
      <c r="F5" s="90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81" t="s">
        <v>43</v>
      </c>
      <c r="C6" s="36">
        <v>4050000.0</v>
      </c>
      <c r="D6" s="88"/>
      <c r="E6" s="6"/>
      <c r="F6" s="90"/>
      <c r="G6" s="93"/>
      <c r="H6" s="93"/>
      <c r="I6" s="9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81" t="s">
        <v>108</v>
      </c>
      <c r="C7" s="5"/>
      <c r="D7" s="88"/>
      <c r="E7" s="6"/>
      <c r="F7" s="90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81" t="s">
        <v>109</v>
      </c>
      <c r="C8" s="36">
        <v>2250000.0</v>
      </c>
      <c r="D8" s="88"/>
      <c r="E8" s="6"/>
      <c r="F8" s="90"/>
      <c r="G8" s="6"/>
      <c r="H8" s="93"/>
      <c r="I8" s="9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81" t="s">
        <v>110</v>
      </c>
      <c r="C9" s="36">
        <v>50000.0</v>
      </c>
      <c r="D9" s="88"/>
      <c r="E9" s="6"/>
      <c r="F9" s="90"/>
      <c r="G9" s="6"/>
      <c r="H9" s="93"/>
      <c r="I9" s="9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81" t="s">
        <v>111</v>
      </c>
      <c r="C10" s="36">
        <v>-5000000.0</v>
      </c>
      <c r="D10" s="88"/>
      <c r="E10" s="6"/>
      <c r="F10" s="9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81" t="s">
        <v>112</v>
      </c>
      <c r="C11" s="36">
        <v>-750000.0</v>
      </c>
      <c r="D11" s="88"/>
      <c r="E11" s="6"/>
      <c r="F11" s="6"/>
      <c r="G11" s="6"/>
      <c r="H11" s="90"/>
      <c r="I11" s="93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81" t="s">
        <v>113</v>
      </c>
      <c r="C12" s="36">
        <v>-500000.0</v>
      </c>
      <c r="D12" s="88"/>
      <c r="E12" s="6"/>
      <c r="F12" s="90"/>
      <c r="G12" s="6"/>
      <c r="H12" s="93"/>
      <c r="I12" s="93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81" t="s">
        <v>114</v>
      </c>
      <c r="C13" s="36">
        <v>9000000.0</v>
      </c>
      <c r="D13" s="88"/>
      <c r="E13" s="6"/>
      <c r="F13" s="90"/>
      <c r="G13" s="6"/>
      <c r="H13" s="93"/>
      <c r="I13" s="93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81" t="s">
        <v>115</v>
      </c>
      <c r="C14" s="91">
        <v>1000000.0</v>
      </c>
      <c r="D14" s="88"/>
      <c r="E14" s="6"/>
      <c r="F14" s="90"/>
      <c r="G14" s="90"/>
      <c r="H14" s="93"/>
      <c r="I14" s="93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81" t="s">
        <v>116</v>
      </c>
      <c r="C15" s="5"/>
      <c r="D15" s="29">
        <f>SUM(C6:C14)</f>
        <v>10100000</v>
      </c>
      <c r="E15" s="6"/>
      <c r="F15" s="9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89"/>
      <c r="C16" s="5"/>
      <c r="D16" s="88"/>
      <c r="E16" s="6"/>
      <c r="F16" s="90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81" t="s">
        <v>117</v>
      </c>
      <c r="C17" s="5"/>
      <c r="D17" s="88"/>
      <c r="E17" s="6"/>
      <c r="F17" s="90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81" t="s">
        <v>118</v>
      </c>
      <c r="C18" s="36">
        <v>350000.0</v>
      </c>
      <c r="D18" s="88"/>
      <c r="E18" s="6"/>
      <c r="F18" s="90"/>
      <c r="G18" s="6"/>
      <c r="H18" s="93"/>
      <c r="I18" s="9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81" t="s">
        <v>119</v>
      </c>
      <c r="C19" s="36">
        <v>-2.05E7</v>
      </c>
      <c r="D19" s="88"/>
      <c r="E19" s="6"/>
      <c r="F19" s="90"/>
      <c r="G19" s="6"/>
      <c r="H19" s="93"/>
      <c r="I19" s="93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81" t="s">
        <v>120</v>
      </c>
      <c r="C20" s="36">
        <v>-6900000.0</v>
      </c>
      <c r="D20" s="88"/>
      <c r="E20" s="6"/>
      <c r="F20" s="90"/>
      <c r="G20" s="6"/>
      <c r="H20" s="93"/>
      <c r="I20" s="9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81" t="s">
        <v>121</v>
      </c>
      <c r="C21" s="91">
        <v>-1050000.0</v>
      </c>
      <c r="D21" s="88"/>
      <c r="E21" s="6"/>
      <c r="F21" s="90"/>
      <c r="G21" s="6"/>
      <c r="H21" s="93"/>
      <c r="I21" s="93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81" t="s">
        <v>122</v>
      </c>
      <c r="C22" s="5"/>
      <c r="D22" s="29">
        <f>(sum(C18:C21))</f>
        <v>-28100000</v>
      </c>
      <c r="E22" s="6"/>
      <c r="F22" s="90"/>
      <c r="G22" s="6"/>
      <c r="H22" s="93"/>
      <c r="I22" s="93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89"/>
      <c r="C23" s="5"/>
      <c r="D23" s="88"/>
      <c r="E23" s="6"/>
      <c r="F23" s="90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81" t="s">
        <v>123</v>
      </c>
      <c r="C24" s="5"/>
      <c r="D24" s="8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81" t="s">
        <v>124</v>
      </c>
      <c r="C25" s="36">
        <v>1200000.0</v>
      </c>
      <c r="D25" s="88"/>
      <c r="E25" s="6"/>
      <c r="F25" s="90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81" t="s">
        <v>125</v>
      </c>
      <c r="C26" s="36">
        <v>2.05E7</v>
      </c>
      <c r="D26" s="88"/>
      <c r="E26" s="6"/>
      <c r="F26" s="90"/>
      <c r="G26" s="6"/>
      <c r="H26" s="93"/>
      <c r="I26" s="93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81" t="s">
        <v>126</v>
      </c>
      <c r="C27" s="91">
        <v>-20000.0</v>
      </c>
      <c r="D27" s="88"/>
      <c r="E27" s="6"/>
      <c r="F27" s="90"/>
      <c r="G27" s="6"/>
      <c r="H27" s="93"/>
      <c r="I27" s="93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81" t="s">
        <v>127</v>
      </c>
      <c r="C28" s="5"/>
      <c r="D28" s="50">
        <f>SUM(C25:C27)</f>
        <v>21680000</v>
      </c>
      <c r="E28" s="6"/>
      <c r="F28" s="90"/>
      <c r="G28" s="6"/>
      <c r="H28" s="93"/>
      <c r="I28" s="93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81"/>
      <c r="C29" s="5"/>
      <c r="D29" s="88"/>
      <c r="E29" s="6"/>
      <c r="F29" s="90"/>
      <c r="G29" s="6"/>
      <c r="H29" s="93"/>
      <c r="I29" s="93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83" t="s">
        <v>128</v>
      </c>
      <c r="C30" s="94"/>
      <c r="D30" s="87">
        <f>SUM(D15:D28)</f>
        <v>3680000</v>
      </c>
      <c r="E30" s="6"/>
      <c r="F30" s="90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81" t="s">
        <v>129</v>
      </c>
      <c r="C31" s="5"/>
      <c r="D31" s="98">
        <v>0.0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99" t="s">
        <v>130</v>
      </c>
      <c r="C32" s="53"/>
      <c r="D32" s="100">
        <f>sum(D30:D31)</f>
        <v>3680000</v>
      </c>
      <c r="E32" s="101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95"/>
      <c r="D33" s="6"/>
      <c r="E33" s="6"/>
      <c r="F33" s="90"/>
      <c r="G33" s="6"/>
      <c r="H33" s="93"/>
      <c r="I33" s="93"/>
      <c r="J33" s="93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95"/>
      <c r="D34" s="6"/>
      <c r="E34" s="6"/>
      <c r="F34" s="90"/>
      <c r="G34" s="6"/>
      <c r="H34" s="93"/>
      <c r="I34" s="93"/>
      <c r="J34" s="93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95"/>
      <c r="D35" s="6"/>
      <c r="E35" s="6"/>
      <c r="F35" s="90"/>
      <c r="G35" s="6"/>
      <c r="H35" s="93"/>
      <c r="I35" s="93"/>
      <c r="J35" s="93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9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9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9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9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9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9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9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9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9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9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9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9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9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9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9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9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9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9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9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9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9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9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9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9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9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9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9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9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9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9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9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9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9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9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9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9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9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9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9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9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9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9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9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9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9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9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9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9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9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9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9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9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9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9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9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9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9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9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9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9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9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9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9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9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9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9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9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9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9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9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9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9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9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9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9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9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9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9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9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9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9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9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9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9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9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9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9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9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9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9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9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9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9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9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9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9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9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9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9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9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9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9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9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9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9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9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9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9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9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9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9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9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9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9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9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9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9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9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9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9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9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9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9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9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9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9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9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9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9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9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9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9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9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9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9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9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9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9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9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9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9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9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9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9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9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9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9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9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9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9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9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9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9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9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9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9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9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9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9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9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9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9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9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9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9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9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9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9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9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9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9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9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9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9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9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9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9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9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9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9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9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9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9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9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9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9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9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9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9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9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9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9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9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9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9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9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9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9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9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9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9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9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9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9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9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9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9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9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9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9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9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9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9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9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9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9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9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9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9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9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9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9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9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9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9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9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9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95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95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9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95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95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95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9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95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95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95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95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95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95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9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95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95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95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95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95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95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95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95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95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95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9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95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95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95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95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9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9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95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95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95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95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9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95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95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95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95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95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95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95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95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95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95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95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95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95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95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95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95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95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95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95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95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95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95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95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95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95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95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95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95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95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95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95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95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95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95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95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95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9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95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95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95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9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95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95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95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95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95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95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95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95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95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95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95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95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95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95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95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95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95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95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95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95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95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95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95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95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95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95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95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95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95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95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95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95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95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95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95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95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95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95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95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95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95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95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95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95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95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95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95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95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95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95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95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95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95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95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95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95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95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9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9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95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95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9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9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9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9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9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9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9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9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9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9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9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9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9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9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9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9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9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9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9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9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9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9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9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9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9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9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9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9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9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9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9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9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9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9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9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9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9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9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9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9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9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9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9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9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9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9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9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9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9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9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9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9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9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9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9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9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9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9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9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9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9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9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9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9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9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9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9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9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9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9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9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9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9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9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9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9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9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9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9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9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9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9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9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9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9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9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9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9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9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9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9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9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9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9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9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9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9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9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9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9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9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9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95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95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95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95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9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95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95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95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95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95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95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95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95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95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95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95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95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95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95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95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95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95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95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95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95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95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95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95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95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95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95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95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95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95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95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95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95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95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95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95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95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95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95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95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95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95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9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95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95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95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95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95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95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95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95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95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95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95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95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95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95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95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95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95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95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95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95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95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95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95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95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95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95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95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95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95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95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95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95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95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95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95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95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95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95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95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95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95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9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95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95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95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95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95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95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95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95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95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95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95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95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95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95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95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95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95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95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95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95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95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95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95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95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95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95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95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95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95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95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95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95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95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95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95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95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95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95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95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95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95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9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95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95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95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95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95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95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95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95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95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95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95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95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95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95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95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95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95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95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95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95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95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95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95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95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95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95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95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95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95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95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95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95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95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95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95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95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95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95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95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95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95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9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95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95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95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95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95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95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95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95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95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95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95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95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95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95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95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95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95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95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95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95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95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95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95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95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95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95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95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95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95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95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95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95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95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95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95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95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95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95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95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95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95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9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95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95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95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95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95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95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95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95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95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95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95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95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95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95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95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95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95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95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95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95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95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95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95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95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95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95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95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95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95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95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95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95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95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95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95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95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95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95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95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95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95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9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95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95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95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95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95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95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95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95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95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95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95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95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95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95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95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95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95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95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95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95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95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95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95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95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95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95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95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95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95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95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95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95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95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95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95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95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95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95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95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95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95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9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95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95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95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95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95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95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95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95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95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95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95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95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95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95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95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95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95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95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95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95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95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95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95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95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95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95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95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95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95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95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95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95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95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95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95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95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95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95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95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95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95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9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95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95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95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95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95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95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95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95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95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95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95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95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95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95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95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95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95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95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95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95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95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95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95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95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95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95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95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95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95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95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95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95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95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95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95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95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95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95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95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95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95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9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95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95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95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95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95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95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95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95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95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95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95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95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95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95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95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95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95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95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95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95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95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95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95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95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95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95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95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95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95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95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95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95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95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95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95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95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95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95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95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95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95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9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95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95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95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95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95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95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95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95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95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95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95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95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95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95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95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95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95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95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95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95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95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95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95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95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95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95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95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95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95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95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95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95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95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95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95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95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95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95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95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95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95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9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95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95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95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95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95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95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95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95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95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95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95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95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95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9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9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9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9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9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9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9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9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9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9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9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9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9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9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9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9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9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9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95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95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</sheetData>
  <mergeCells count="3">
    <mergeCell ref="B2:D2"/>
    <mergeCell ref="B3:D3"/>
    <mergeCell ref="B4:D4"/>
  </mergeCells>
  <drawing r:id="rId1"/>
</worksheet>
</file>